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 Website" sheetId="1" r:id="rId4"/>
    <sheet state="visible" name="Non Dedicated Website" sheetId="2" r:id="rId5"/>
    <sheet state="visible" name="All Prospects" sheetId="3" r:id="rId6"/>
  </sheets>
  <definedNames>
    <definedName hidden="1" localSheetId="0" name="_xlnm._FilterDatabase">'No Website'!$A$1:$I$84</definedName>
    <definedName hidden="1" localSheetId="1" name="_xlnm._FilterDatabase">'Non Dedicated Website'!$A$1:$M$24</definedName>
    <definedName hidden="1" localSheetId="2" name="_xlnm._FilterDatabase">'All Prospects'!$A$1:$Z$275</definedName>
  </definedNames>
  <calcPr/>
</workbook>
</file>

<file path=xl/sharedStrings.xml><?xml version="1.0" encoding="utf-8"?>
<sst xmlns="http://schemas.openxmlformats.org/spreadsheetml/2006/main" count="2479" uniqueCount="1167">
  <si>
    <t>Name</t>
  </si>
  <si>
    <t>Phone</t>
  </si>
  <si>
    <t>Rating</t>
  </si>
  <si>
    <t>Review Count</t>
  </si>
  <si>
    <t>Google Maps link</t>
  </si>
  <si>
    <t>Type</t>
  </si>
  <si>
    <t>Address</t>
  </si>
  <si>
    <t>City</t>
  </si>
  <si>
    <t>Working hours</t>
  </si>
  <si>
    <t>TNT Heating &amp; Cooling</t>
  </si>
  <si>
    <t>https://www.google.com/maps/place/data=!3m1!4b1!4m2!3m1!1s0x89c2f950b6720379:0x470dc4f05d1f7c7b</t>
  </si>
  <si>
    <t>Air conditioning contractor</t>
  </si>
  <si>
    <t>21 Columbus Ave</t>
  </si>
  <si>
    <t>Garfield</t>
  </si>
  <si>
    <t>Monday: 7 AM–4 PM | Tuesday: 7 AM–4 PM | Wednesday: 7 AM–4 PM | Thursday: 7 AM–4 PM | Friday: 7 AM–4 PM | Saturday: Closed | Sunday: Closed</t>
  </si>
  <si>
    <t>Alibaba HVAC LLC</t>
  </si>
  <si>
    <t>https://www.google.com/maps/place/data=!3m1!4b1!4m2!3m1!1s0x89c2f90ef371b655:0xd1a40ad9fb69acd</t>
  </si>
  <si>
    <t>HVAC contractor</t>
  </si>
  <si>
    <t>Monday: Open 24 hours | Tuesday: Open 24 hours | Wednesday: Open 24 hours | Thursday: Open 24 hours | Friday: Open 24 hours | Saturday: Open 24 hours | Sunday: Open 24 hours</t>
  </si>
  <si>
    <t>Lauer Plumbing &amp; Heating LLC</t>
  </si>
  <si>
    <t>https://www.google.com/maps/place/data=!3m1!4b1!4m2!3m1!1s0x89c2f764889f383f:0xf3a72dbe3a610bb8</t>
  </si>
  <si>
    <t>Plumber</t>
  </si>
  <si>
    <t>65 Euclid Ave</t>
  </si>
  <si>
    <t>Ridgefield Park</t>
  </si>
  <si>
    <t>Monday: 9 AM–5 PM | Tuesday: 9 AM–5 PM | Wednesday: 9 AM–5 PM | Thursday: 9 AM–5 PM | Friday: 9 AM–5 PM | Saturday: 9 AM–5 PM | Sunday: Closed</t>
  </si>
  <si>
    <t>Hackensack Plumbing &amp; Drain</t>
  </si>
  <si>
    <t>https://www.google.com/maps/place/data=!3m1!4b1!4m2!3m1!1s0x89c2590133a498d9:0xa9d5e3101198184f</t>
  </si>
  <si>
    <t>325 S River St #365</t>
  </si>
  <si>
    <t>Hackensack</t>
  </si>
  <si>
    <t>Loretto Plumbing</t>
  </si>
  <si>
    <t>https://www.google.com/maps/place/data=!3m1!4b1!4m2!3m1!1s0x89c2f74e4a7c7f51:0xeab5f1c0217d96ee</t>
  </si>
  <si>
    <t>261 Fort Lee Rd</t>
  </si>
  <si>
    <t>Teaneck</t>
  </si>
  <si>
    <t>Monday: 8 AM–4 PM | Tuesday: 8 AM–4 PM | Wednesday: 8 AM–4 PM | Thursday: 8 AM–4 PM | Friday: 8 AM–4 PM | Saturday: Closed | Sunday: Closed</t>
  </si>
  <si>
    <t>A &amp; J Sewer Specialists</t>
  </si>
  <si>
    <t>https://www.google.com/maps/place/data=!3m1!4b1!4m2!3m1!1s0x89c2f764acda1069:0xbaf22a88e1a6c</t>
  </si>
  <si>
    <t>11 Garden St</t>
  </si>
  <si>
    <t>Monday: Closed | Tuesday: Closed | Wednesday: Closed | Thursday: Closed | Friday: Closed | Saturday: Closed | Sunday: Closed</t>
  </si>
  <si>
    <t>American Dream Sewer &amp; Drain</t>
  </si>
  <si>
    <t>https://www.google.com/maps/place/data=!3m1!4b1!4m2!3m1!1s0x89c2f754ef37cacd:0xa5223965ce591903</t>
  </si>
  <si>
    <t>1121 Edgewater Ave W</t>
  </si>
  <si>
    <t>Ridgefield</t>
  </si>
  <si>
    <t>Galdi Plumbing &amp; Heating Inc</t>
  </si>
  <si>
    <t>https://www.google.com/maps/place/data=!3m1!4b1!4m2!3m1!1s0x89c2f9d4e054febf:0xaf48476537bd29a0</t>
  </si>
  <si>
    <t>Little Ferry</t>
  </si>
  <si>
    <t>Mains and drains plumbing &amp; heating</t>
  </si>
  <si>
    <t>https://www.google.com/maps/place/data=!3m1!4b1!4m2!3m1!1s0x89c2fa71b003ea11:0xc4a17ed516535881</t>
  </si>
  <si>
    <t>211 Johnson Ave</t>
  </si>
  <si>
    <t>Fred's Plumbing and Heating LLC</t>
  </si>
  <si>
    <t>https://www.google.com/maps/place/data=!3m1!4b1!4m2!3m1!1s0x89c2f9fce97c97a7:0xd2f55d95236fdbae</t>
  </si>
  <si>
    <t>102 River Rd Apartment 1</t>
  </si>
  <si>
    <t>Bogota</t>
  </si>
  <si>
    <t>Monday: 8 AM–5 PM | Tuesday: 8 AM–5 PM | Wednesday: 8 AM–5 PM | Thursday: 8 AM–5 PM | Friday: 8 AM–5 PM | Saturday: 8 AM–5 PM | Sunday: Closed</t>
  </si>
  <si>
    <t>Julian Plumber</t>
  </si>
  <si>
    <t>https://www.google.com/maps/place/data=!3m1!4b1!4m2!3m1!1s0x89c2f7c6f87f434b:0xb4630424cca48cd1</t>
  </si>
  <si>
    <t>126 Anderson Ave</t>
  </si>
  <si>
    <t>Fairview</t>
  </si>
  <si>
    <t>Monday: 7 AM–4 PM | Tuesday: 7 AM–4 PM | Wednesday: 7 AM–4 PM | Thursday: 7 AM–4 PM | Friday: 7 AM–4 PM | Saturday: Open 24 hours | Sunday: Open 24 hours</t>
  </si>
  <si>
    <t>Rooter Master</t>
  </si>
  <si>
    <t>https://www.google.com/maps/place/data=!3m1!4b1!4m2!3m1!1s0x7e0c057153d6c3:0x2f3a2d7fdeb2e11</t>
  </si>
  <si>
    <t>Prime Plumbing &amp; Heating LLC</t>
  </si>
  <si>
    <t>https://www.google.com/maps/place/data=!3m1!4b1!4m2!3m1!1s0x89c2f7a1b66b15c3:0xa78ca6d7d5670e7c</t>
  </si>
  <si>
    <t>584 Prospect Ave</t>
  </si>
  <si>
    <t>Lanzo Plumbing and Sewer</t>
  </si>
  <si>
    <t>https://www.google.com/maps/place/data=!3m1!4b1!4m2!3m1!1s0x89c2f90a0fe3957f:0x1f4f66c8ba6764a</t>
  </si>
  <si>
    <t>Monday: 7 AM–7 PM | Tuesday: 7 AM–7 PM | Wednesday: 7 AM–7 PM | Thursday: 7 AM–7 PM | Friday: 7 AM–7 PM | Saturday: 7 AM–7 PM | Sunday: Closed</t>
  </si>
  <si>
    <t>All State Electrical Construction</t>
  </si>
  <si>
    <t>https://www.google.com/maps/place/data=!3m1!4b1!4m2!3m1!1s0x89c2f76036815555:0x39ae8687354bb79d</t>
  </si>
  <si>
    <t>Electrician</t>
  </si>
  <si>
    <t>10 Railroad Ave</t>
  </si>
  <si>
    <t>City Electrical Contractors</t>
  </si>
  <si>
    <t>https://www.google.com/maps/place/data=!3m1!4b1!4m2!3m1!1s0x89c2f77c9259b281:0x1d735202e32031bf</t>
  </si>
  <si>
    <t>39 College Pl</t>
  </si>
  <si>
    <t>Famularo Electrical Contracting</t>
  </si>
  <si>
    <t>https://www.google.com/maps/place/data=!3m1!4b1!4m2!3m1!1s0x89c2f9e451fc5b11:0x549c050a80e5fe19</t>
  </si>
  <si>
    <t>325 S River St # 201</t>
  </si>
  <si>
    <t>Orbit Electrical</t>
  </si>
  <si>
    <t>https://www.google.com/maps/place/data=!3m1!4b1!4m2!3m1!1s0x89c2f9ca3690a3df:0xde8b5d538961b171</t>
  </si>
  <si>
    <t>250 Union Ave</t>
  </si>
  <si>
    <t>Moonachie</t>
  </si>
  <si>
    <t>Monday: 8:30 AM–4:30 PM | Tuesday: 8:30 AM–4:30 PM | Wednesday: 8:30 AM–4:30 PM | Thursday: 8:30 AM–4:30 PM | Friday: 8:30 AM–4:30 PM | Saturday: Closed | Sunday: Closed</t>
  </si>
  <si>
    <t>MetroElectric Co., Inc.</t>
  </si>
  <si>
    <t>https://www.google.com/maps/place/data=!3m1!4b1!4m2!3m1!1s0x89c2f7561748359b:0xc60e0fc480c65cc4</t>
  </si>
  <si>
    <t>196 Leonia Ave</t>
  </si>
  <si>
    <t>College Electric Corporation</t>
  </si>
  <si>
    <t>https://www.google.com/maps/place/data=!3m1!4b1!4m2!3m1!1s0x89c2f7092611eec3:0xea91aaf679555de</t>
  </si>
  <si>
    <t>16 NJ-5</t>
  </si>
  <si>
    <t>Palisades Park</t>
  </si>
  <si>
    <t>Bosshard Electric</t>
  </si>
  <si>
    <t>https://www.google.com/maps/place/data=!3m1!4b1!4m2!3m1!1s0x89c2f9e54922296d:0x41dda8f8b3c1c677</t>
  </si>
  <si>
    <t>15 Water St</t>
  </si>
  <si>
    <t>Jfm Electric Llc</t>
  </si>
  <si>
    <t>https://www.google.com/maps/place/data=!3m1!4b1!4m2!3m1!1s0x89c2f717ca36aaab:0x51b37466e162ed23</t>
  </si>
  <si>
    <t>515 Lawn Ave</t>
  </si>
  <si>
    <t>Monday: 8 AM–6 PM | Tuesday: 8 AM–6 PM | Wednesday: 8 AM–6 PM | Thursday: 8 AM–6 PM | Friday: 8 AM–6 PM | Saturday: 9 AM–12 PM | Sunday: Closed</t>
  </si>
  <si>
    <t>M. Bianchi Electric, LLC</t>
  </si>
  <si>
    <t>https://www.google.com/maps/place/data=!3m1!4b1!4m2!3m1!1s0x89c2f726d1e385a5:0xb984d270b6911a6e</t>
  </si>
  <si>
    <t>184 Glenwood Ave</t>
  </si>
  <si>
    <t>Leonia</t>
  </si>
  <si>
    <t>Monday: 8 AM–6 PM | Tuesday: 8 AM–6 PM | Wednesday: 8 AM–6 PM | Thursday: 8 AM–6 PM | Friday: 8 AM–6 PM | Saturday: 8 AM–6 PM | Sunday: Closed</t>
  </si>
  <si>
    <t>Esposito Electric</t>
  </si>
  <si>
    <t>https://www.google.com/maps/place/data=!3m1!4b1!4m2!3m1!1s0x89c2f70390b6ab9d:0x5b42f06aa5009c2f</t>
  </si>
  <si>
    <t>262 12th St</t>
  </si>
  <si>
    <t>LEC - Attic Insulation &amp; Roofing Services Co, NJ 07660</t>
  </si>
  <si>
    <t>https://www.google.com/maps/place/data=!3m1!4b1!4m2!3m1!1s0x89c2f7604866310d:0xf0b2891cc591edc7</t>
  </si>
  <si>
    <t>20 Paulison Ave</t>
  </si>
  <si>
    <t>Monday: 7 AM–9:30 PM | Tuesday: 7 AM–9:30 PM | Wednesday: 7 AM–9:30 PM | Thursday: 7 AM–9:30 PM | Friday: 7 AM–9:30 PM | Saturday: 7 AM–9:30 PM | Sunday: Closed</t>
  </si>
  <si>
    <t>Rusin &amp; Doru Electric LLC</t>
  </si>
  <si>
    <t>https://www.google.com/maps/place/data=!3m1!4b1!4m2!3m1!1s0x89c2f7ba0302a47b:0xd52e834110b23bd6</t>
  </si>
  <si>
    <t>778 Bergen Blvd</t>
  </si>
  <si>
    <t>Lea Electric</t>
  </si>
  <si>
    <t>https://www.google.com/maps/place/data=!3m1!4b1!4m2!3m1!1s0x89c2f72f03a47b53:0xe5363a83354d81a3</t>
  </si>
  <si>
    <t>143 Schor Ave</t>
  </si>
  <si>
    <t>A&amp;B Electrical service &amp; roofing service Palisades Park, NJ</t>
  </si>
  <si>
    <t>https://www.google.com/maps/place/data=!3m1!4b1!4m2!3m1!1s0x89c2f7031abc96d7:0x4778acb98338db9d</t>
  </si>
  <si>
    <t>314 12th St</t>
  </si>
  <si>
    <t>Monday: 7 AM–9 PM | Tuesday: 7 AM–9 PM | Wednesday: 7 AM–9 PM | Thursday: 7:30 AM–9 PM | Friday: 7 AM–9 PM | Saturday: 7 AM–9 PM | Sunday: Closed</t>
  </si>
  <si>
    <t>Mancini Electric Inc</t>
  </si>
  <si>
    <t>https://www.google.com/maps/place/data=!3m1!4b1!4m2!3m1!1s0x89c2f7a952882eff:0x9731bf4dd1afbfa5</t>
  </si>
  <si>
    <t>700 Jefferson Ave</t>
  </si>
  <si>
    <t>Cliffside Park</t>
  </si>
  <si>
    <t>Monday: 9 AM–5 PM | Tuesday: 9 AM–5 PM | Wednesday: 9 AM–5 PM | Thursday: 9 AM–5 PM | Friday: 9 AM–5 PM | Saturday: Closed | Sunday: Closed</t>
  </si>
  <si>
    <t>https://www.google.com/maps/place/data=!3m1!4b1!4m2!3m1!1s0x89c2f9ed574f3b6f:0xf1bb2e0a316f8f68</t>
  </si>
  <si>
    <t>162 Liberty St</t>
  </si>
  <si>
    <t>J.M.G. Electrical Contractors, Inc.</t>
  </si>
  <si>
    <t>https://www.google.com/maps/place/data=!3m1!4b1!4m2!3m1!1s0x89c25809086da8a9:0x3a38807fcb136d31</t>
  </si>
  <si>
    <t>6808 Adams St</t>
  </si>
  <si>
    <t>Guttenberg</t>
  </si>
  <si>
    <t>B Golden Electrical</t>
  </si>
  <si>
    <t>https://www.google.com/maps/place/data=!3m1!4b1!4m2!3m1!1s0x89c2f6e7912da29d:0xc28df0290800261a</t>
  </si>
  <si>
    <t>314 Main St</t>
  </si>
  <si>
    <t>Fort Lee</t>
  </si>
  <si>
    <t>Cross Hudson Electrical</t>
  </si>
  <si>
    <t>https://www.google.com/maps/place/data=!3m1!4b1!4m2!3m1!1s0x89c2f903701a6cc1:0x90edb34a843e69f4</t>
  </si>
  <si>
    <t>342 Innes Rd</t>
  </si>
  <si>
    <t>Wood-Ridge</t>
  </si>
  <si>
    <t>Monday: 9 AM–5 PM | Tuesday: 9 AM–5 PM | Wednesday: 9 AM–5 PM | Thursday: 9 AM–5 PM | Friday: 9 AM–5 PM | Saturday: 9 AM–5 PM | Sunday: 9 AM–5 PM</t>
  </si>
  <si>
    <t>C&amp;E roofing service Moonachie, NJ</t>
  </si>
  <si>
    <t>https://www.google.com/maps/place/data=!3m1!4b1!4m2!3m1!1s0x89c2f835c332263d:0xa09168330b187bac</t>
  </si>
  <si>
    <t>27 Lincoln Pl</t>
  </si>
  <si>
    <t>Monday: 7 AM–9 PM | Tuesday: 7 AM–9 PM | Wednesday: 7 AM–9 PM | Thursday: 7 AM–9 PM | Friday: 7 AM–9 PM | Saturday: 7 AM–9 PM | Sunday: Closed</t>
  </si>
  <si>
    <t>All Family Dental</t>
  </si>
  <si>
    <t>https://www.google.com/maps/place/data=!3m1!4b1!4m2!3m1!1s0x89c2f7820bf96be3:0xef59e16c36173e23</t>
  </si>
  <si>
    <t>Dentist</t>
  </si>
  <si>
    <t>45 Winant Ave</t>
  </si>
  <si>
    <t>Monday: 10 AM–6 PM | Tuesday: 10 AM–6 PM | Wednesday: 10 AM–6 PM | Thursday: 10 AM–6 PM | Friday: 10 AM–6 PM | Saturday: Closed | Sunday: Closed</t>
  </si>
  <si>
    <t>Vladmir Meskin, DDS</t>
  </si>
  <si>
    <t>https://www.google.com/maps/place/data=!3m1!4b1!4m2!3m1!1s0x89c2f77caed52ee7:0x6ddca00c17de4c19</t>
  </si>
  <si>
    <t>45 US-46</t>
  </si>
  <si>
    <t>Monday: 10 AM–6 PM | Tuesday: 10 AM–6 PM | Wednesday: 10 AM–6 PM | Thursday: 10 AM–6 PM | Friday: 10 AM–6 PM | Saturday: 9 AM–3 PM | Sunday: Closed</t>
  </si>
  <si>
    <t>Dr. Stephanie Jacobovits</t>
  </si>
  <si>
    <t>https://www.google.com/maps/place/data=!3m1!4b1!4m2!3m1!1s0x89c2f761426c0001:0xe1c4b00d10514c92</t>
  </si>
  <si>
    <t>174 Main St</t>
  </si>
  <si>
    <t>United Dental Group</t>
  </si>
  <si>
    <t>https://www.google.com/maps/place/data=!3m1!4b1!4m2!3m1!1s0x89c2f711b751b24d:0x6385d7de725bad46</t>
  </si>
  <si>
    <t>Dental implants periodontist</t>
  </si>
  <si>
    <t>261 Broad Ave</t>
  </si>
  <si>
    <t>Monday: 9 AM–6 PM | Tuesday: 9:30 AM–6 PM | Wednesday: 9 AM–6 PM | Thursday: 9 AM–6 PM | Friday: 9 AM–6 PM | Saturday: Closed | Sunday: Closed</t>
  </si>
  <si>
    <t>Yein Dental Group</t>
  </si>
  <si>
    <t>https://www.google.com/maps/place/data=!3m1!4b1!4m2!3m1!1s0x89c2f710f8c36c25:0xaa90b06c94b9e4e7</t>
  </si>
  <si>
    <t>225 Broad Ave STE 102</t>
  </si>
  <si>
    <t>Monday: 9 AM–8 PM | Tuesday: 9 AM–6 PM | Wednesday: Closed | Thursday: 9 AM–8 PM | Friday: 9 AM–6 PM | Saturday: 9 AM–5 PM | Sunday: Closed</t>
  </si>
  <si>
    <t>Vaccarella Family Chiropractic</t>
  </si>
  <si>
    <t>https://www.google.com/maps/place/data=!3m1!4b1!4m2!3m1!1s0x89c2f73b4e5f7151:0xb3da999da2801111</t>
  </si>
  <si>
    <t>Chiropractor</t>
  </si>
  <si>
    <t>240 Grand Ave #3</t>
  </si>
  <si>
    <t>Monday: 8:15 AM–1 PM, 3–7 PM | Tuesday: Closed | Wednesday: 8:15 AM–1 PM, 3–7 PM | Thursday: Closed | Friday: 8:15 AM–1 PM, 3–6 PM | Saturday: 11:30 AM–2 PM | Sunday: Closed</t>
  </si>
  <si>
    <t>Little Ferry Sports, Spine &amp; Rehab Center</t>
  </si>
  <si>
    <t>https://www.google.com/maps/place/data=!3m1!4b1!4m2!3m1!1s0x89c2f9d239c33aff:0xd3e971f535be981e</t>
  </si>
  <si>
    <t>167 Washington Ave</t>
  </si>
  <si>
    <t>Monday: 10 AM–7 PM | Tuesday: 10 AM–7 PM | Wednesday: 10 AM–7 PM | Thursday: 10 AM–7 PM | Friday: 10 AM–3 PM | Saturday: Closed | Sunday: Closed</t>
  </si>
  <si>
    <t>Dr. William K. Yu, DC</t>
  </si>
  <si>
    <t>https://www.google.com/maps/place/data=!3m1!4b1!4m2!3m1!1s0x89c2f70d70aeaaab:0xc96b6fefbe1fb51</t>
  </si>
  <si>
    <t>101 Grand Ave</t>
  </si>
  <si>
    <t>Elite Physical Medicine</t>
  </si>
  <si>
    <t>https://www.google.com/maps/place/data=!3m1!4b1!4m2!3m1!1s0x89c2f70d7750bc6d:0x1022d237035d8bad</t>
  </si>
  <si>
    <t>Ridgefield Chiropractic Rehab</t>
  </si>
  <si>
    <t>https://www.google.com/maps/place/data=!3m1!4b1!4m2!3m1!1s0x89c2f7754d27a67f:0x95378964bb72117c</t>
  </si>
  <si>
    <t>663 Grand Ave</t>
  </si>
  <si>
    <t>Harry Lefkowitz, DC</t>
  </si>
  <si>
    <t>https://www.google.com/maps/place/data=!3m1!4b1!4m2!3m1!1s0x89c2f751b9f2e0f7:0xda88102d8f5f3231</t>
  </si>
  <si>
    <t>153 Fort Lee Rd</t>
  </si>
  <si>
    <t>Monday: 10 AM–7 PM | Tuesday: 4–8 PM | Wednesday: 10 AM–7 PM | Thursday: 10 AM–7 PM | Friday: 10 AM–3 PM | Saturday: 10 AM–1 PM | Sunday: Closed</t>
  </si>
  <si>
    <t>Steven F. Vaccarella, DC</t>
  </si>
  <si>
    <t>https://www.google.com/maps/place/data=!3m1!4b1!4m2!3m1!1s0x89c2f73b4e5f7151:0xbb28e3c782657381</t>
  </si>
  <si>
    <t>240 Grand Ave</t>
  </si>
  <si>
    <t>Monday: 8 AM–1 PM, 3–7 PM | Tuesday: Closed | Wednesday: 8 AM–1 PM, 3–7 PM | Thursday: Closed | Friday: 8 AM–1 PM, 3–6 PM | Saturday: Closed | Sunday: Closed</t>
  </si>
  <si>
    <t>Good Neighbor Realty 뉴저지 부동산</t>
  </si>
  <si>
    <t>https://www.google.com/maps/place/data=!3m1!4b1!4m2!3m1!1s0x89c2f70e21f09b5b:0x64d9cb3e24d6a536</t>
  </si>
  <si>
    <t>Real estate agency</t>
  </si>
  <si>
    <t>216 Broad Ave</t>
  </si>
  <si>
    <t>Monday: 9 AM–6 PM | Tuesday: 9 AM–6 PM | Wednesday: 9 AM–6 PM | Thursday: 9 AM–6 PM | Friday: 9 AM–6 PM | Saturday: Closed | Sunday: Closed</t>
  </si>
  <si>
    <t>Realty One</t>
  </si>
  <si>
    <t>https://www.google.com/maps/place/data=!3m1!4b1!4m2!3m1!1s0x89c2f79f1ab3ee8f:0xcf517b0075e5b504</t>
  </si>
  <si>
    <t>Hyun Lee, Bergen Real Estate</t>
  </si>
  <si>
    <t>https://www.google.com/maps/place/data=!3m1!4b1!4m2!3m1!1s0x89c2f7b1fecb6a8b:0x240b602ae9443f0e</t>
  </si>
  <si>
    <t>Real estate agent</t>
  </si>
  <si>
    <t>1007 Edgewater Ave</t>
  </si>
  <si>
    <t>Monday: 9 AM–9 PM | Tuesday: 9 AM–9 PM | Wednesday: 9 AM–9 PM | Thursday: 9 AM–9 PM | Friday: 9 AM–9 PM | Saturday: 9 AM–9 PM | Sunday: Closed</t>
  </si>
  <si>
    <t>Smart City Real Estate LLC</t>
  </si>
  <si>
    <t>https://www.google.com/maps/place/data=!3m1!4b1!4m2!3m1!1s0x89c2f703892dcd01:0xbba47c62fd533221</t>
  </si>
  <si>
    <t>411 Brinkerhoff Ave</t>
  </si>
  <si>
    <t>Ray Park | RE/MAX Now</t>
  </si>
  <si>
    <t>https://www.google.com/maps/place/data=!3m1!4b1!4m2!3m1!1s0x89c2f18aebb9e121:0xe8aac36b83a483c2</t>
  </si>
  <si>
    <t>460 Bergen Blvd # 120</t>
  </si>
  <si>
    <t>Monday: 8 AM–9 PM | Tuesday: 8 AM–9 PM | Wednesday: 8 AM–9 PM | Thursday: 8 AM–9 PM | Friday: 8 AM–9 PM | Saturday: 8 AM–9 PM | Sunday: 8 AM–9 PM</t>
  </si>
  <si>
    <t>Matthew Hincapie - Real Estate</t>
  </si>
  <si>
    <t>https://www.google.com/maps/place/data=!3m1!4b1!4m2!3m1!1s0x89c2f7b8aa6aec21:0x62b430d3aa485622</t>
  </si>
  <si>
    <t>725 Grand Ave STE 105</t>
  </si>
  <si>
    <t>Zabdi Realty</t>
  </si>
  <si>
    <t>https://www.google.com/maps/place/data=!3m1!4b1!4m2!3m1!1s0x89c2f7c9cf1a5dd3:0x8c30cb83e557acfc</t>
  </si>
  <si>
    <t>298 Palisade Ave #2</t>
  </si>
  <si>
    <t>Monday: 10 AM–7 PM | Tuesday: 10 AM–7 PM | Wednesday: 10 AM–7 PM | Thursday: 10 AM–7 PM | Friday: 10 AM–7 PM | Saturday: 10 AM–7 PM | Sunday: Closed</t>
  </si>
  <si>
    <t>Ldr Equities</t>
  </si>
  <si>
    <t>https://www.google.com/maps/place/data=!3m1!4b1!4m2!3m1!1s0x89c2f7990e9cbfbd:0x8e3ba3c2bc36cb1a</t>
  </si>
  <si>
    <t>RE/MAX SELECT PROPERTIES of FORT LEE</t>
  </si>
  <si>
    <t>https://www.google.com/maps/place/data=!3m1!4b1!4m2!3m1!1s0x89c2f7a8cca5d95d:0xa5631073549cdf69</t>
  </si>
  <si>
    <t>262-264 Columbia Ave</t>
  </si>
  <si>
    <t>Ridgefield NJ REALTOR Jean Mckenna</t>
  </si>
  <si>
    <t>https://www.google.com/maps/place/data=!3m1!4b1!4m2!3m1!1s0x89c2f7b5b4cccb45:0xf70bd34bea4202b1</t>
  </si>
  <si>
    <t>426 Cecelia Ave</t>
  </si>
  <si>
    <t>Real Estate Management Inc</t>
  </si>
  <si>
    <t>https://www.google.com/maps/place/data=!3m1!4b1!4m2!3m1!1s0x89c2f7c1a0eb34c5:0xcb8ae4ee93516b48</t>
  </si>
  <si>
    <t>Property management company</t>
  </si>
  <si>
    <t>452 Harding Pl</t>
  </si>
  <si>
    <t>Alliotts Realty LLC</t>
  </si>
  <si>
    <t>https://www.google.com/maps/place/data=!3m1!4b1!4m2!3m1!1s0x89c2f710ec111d61:0xdd744fbf48557ba2</t>
  </si>
  <si>
    <t>Apartment rental agency</t>
  </si>
  <si>
    <t>1 Alliotts Pl</t>
  </si>
  <si>
    <t>Basile Birchwale and Pellino, LLP</t>
  </si>
  <si>
    <t>https://www.google.com/maps/place/data=!3m1!4b1!4m2!3m1!1s0x89c2f70b8966c50d:0x4434397362f842f4</t>
  </si>
  <si>
    <t>General practice attorney</t>
  </si>
  <si>
    <t>865 Broad Ave</t>
  </si>
  <si>
    <t>Molk David</t>
  </si>
  <si>
    <t>https://www.google.com/maps/place/data=!3m1!4b1!4m2!3m1!1s0x89c2f76135120ed7:0xe0f4c68b63024f55</t>
  </si>
  <si>
    <t>Attorney</t>
  </si>
  <si>
    <t>71 Mt Vernon St</t>
  </si>
  <si>
    <t>Diane M De Carlo Esq</t>
  </si>
  <si>
    <t>https://www.google.com/maps/place/data=!3m1!4b1!4m2!3m1!1s0x89c2f70b8966c50d:0xb7487c9ae7a1a1d2</t>
  </si>
  <si>
    <t>Pellino Stephen F</t>
  </si>
  <si>
    <t>https://www.google.com/maps/place/data=!3m1!4b1!4m2!3m1!1s0x89c2f70b89612c43:0x6ba426a42597d001</t>
  </si>
  <si>
    <t>Baik Auto Repair Inc.</t>
  </si>
  <si>
    <t>https://www.google.com/maps/place/data=!3m1!4b1!4m2!3m1!1s0x89c2f70d1d83062f:0x3ea87f553f3d341d</t>
  </si>
  <si>
    <t>Auto repair shop</t>
  </si>
  <si>
    <t>10 Grand Ave</t>
  </si>
  <si>
    <t>Monday: 8 AM–6 PM | Tuesday: 8 AM–6 PM | Wednesday: 8 AM–6 PM | Thursday: 8 AM–6 PM | Friday: 8 AM–6 PM | Saturday: 8 AM–4 PM | Sunday: Closed</t>
  </si>
  <si>
    <t>H P Automotive</t>
  </si>
  <si>
    <t>https://www.google.com/maps/place/data=!3m1!4b1!4m2!3m1!1s0x89c2f7793743545b:0x86e2dfc1d1bf3be3</t>
  </si>
  <si>
    <t>191 Bergen Turnpike</t>
  </si>
  <si>
    <t>Diaz Auto Repair</t>
  </si>
  <si>
    <t>https://www.google.com/maps/place/data=!3m1!4b1!4m2!3m1!1s0x89c2f9fa96d2c3d5:0xdbfd09466a90b59b</t>
  </si>
  <si>
    <t>170 Bergen Turnpike</t>
  </si>
  <si>
    <t>Monday: 8 AM–5:30 PM | Tuesday: 8 AM–5:30 PM | Wednesday: 8 AM–5:30 PM | Thursday: 8 AM–5:30 PM | Friday: 8 AM–5:30 PM | Saturday: 8:30 AM–2 PM | Sunday: Closed</t>
  </si>
  <si>
    <t>Victory Auto Repair LLC</t>
  </si>
  <si>
    <t>https://www.google.com/maps/place/data=!3m1!4b1!4m2!3m1!1s0x89c2f79cd6ee5607:0x9be765444a9b43bf</t>
  </si>
  <si>
    <t>469 Victoria Terrace</t>
  </si>
  <si>
    <t>Monday: 8 AM–6 PM | Tuesday: 8 AM–6 PM | Wednesday: 8 AM–6 PM | Thursday: 8 AM–6 PM | Friday: 8 AM–6 PM | Saturday: 8 AM–2 PM | Sunday: Closed</t>
  </si>
  <si>
    <t>Absolute Performance automotive repair</t>
  </si>
  <si>
    <t>https://www.google.com/maps/place/data=!3m1!4b1!4m2!3m1!1s0x89c2f9d9a07bac1d:0xbe030c86bfd7d8a1</t>
  </si>
  <si>
    <t>200 Bergen Turnpike</t>
  </si>
  <si>
    <t>Monday: 8 AM–5 PM | Tuesday: 8 AM–5 PM | Wednesday: 8 AM–5 PM | Thursday: 8 AM–5 PM | Friday: 8 AM–5 PM | Saturday: Closed | Sunday: Closed</t>
  </si>
  <si>
    <t>C &amp; C Auto Repair</t>
  </si>
  <si>
    <t>https://www.google.com/maps/place/data=!3m1!4b1!4m2!3m1!1s0x89c2f70b2157062b:0xf542e25a7a60845a</t>
  </si>
  <si>
    <t>1017 Virgil Ave</t>
  </si>
  <si>
    <t>Monday: 8 AM–5 PM | Tuesday: 8 AM–5 PM | Wednesday: 8 AM–5 PM | Thursday: 8 AM–5 PM | Friday: 8 AM–5 PM | Saturday: 8:15 AM–2 PM | Sunday: Closed</t>
  </si>
  <si>
    <t>Chief Auto Repair</t>
  </si>
  <si>
    <t>https://www.google.com/maps/place/data=!3m1!4b1!4m2!3m1!1s0x89c2f9e57fe883b7:0xa0e80976f2ee5d87</t>
  </si>
  <si>
    <t>275 Washington Ave</t>
  </si>
  <si>
    <t>Monday: 8 AM–6 PM | Tuesday: 8 AM–6 PM | Wednesday: 8 AM–6 PM | Thursday: 8 AM–6 PM | Friday: 8 AM–6 PM | Saturday: 8 AM–3 PM | Sunday: Closed</t>
  </si>
  <si>
    <t>Auto Diagnostics and Repair Service</t>
  </si>
  <si>
    <t>https://www.google.com/maps/place/data=!3m1!4b1!4m2!3m1!1s0x89c2f64aacdbc77f:0x7c830e9f315e7e80</t>
  </si>
  <si>
    <t>466 Bergen Blvd</t>
  </si>
  <si>
    <t>Monday: 8 AM–6 PM | Tuesday: 8 AM–6 PM | Wednesday: 8 AM–6 PM | Thursday: 8 AM–6 PM | Friday: 8 AM–6 PM | Saturday: Closed | Sunday: Closed</t>
  </si>
  <si>
    <t>G&amp;S Auto Repair Inc.</t>
  </si>
  <si>
    <t>https://www.google.com/maps/place/data=!3m1!4b1!4m2!3m1!1s0x89c2f90db5833493:0x18fcd483d43c73d6</t>
  </si>
  <si>
    <t>386 Liberty St</t>
  </si>
  <si>
    <t>Rich Auto Services</t>
  </si>
  <si>
    <t>https://www.google.com/maps/place/data=!3m1!4b1!4m2!3m1!1s0x89c2f9dc20b0c31f:0xe4699dc9629aae34</t>
  </si>
  <si>
    <t>300 Bergen Turnpike</t>
  </si>
  <si>
    <t>Monday: 8 AM–7 PM | Tuesday: 8 AM–7 PM | Wednesday: 8 AM–7 PM | Thursday: 8 AM–7 PM | Friday: 8 AM–7 PM | Saturday: 8 AM–5 PM | Sunday: Closed</t>
  </si>
  <si>
    <t>K Auto Service</t>
  </si>
  <si>
    <t>https://www.google.com/maps/place/data=!3m1!4b1!4m2!3m1!1s0x89c2f7dedc2368b7:0xc59ea898c1151df6</t>
  </si>
  <si>
    <t>Auto body shop</t>
  </si>
  <si>
    <t>210 NJ-5</t>
  </si>
  <si>
    <t>Monday: 8 AM–6:30 PM | Tuesday: 8 AM–6:30 PM | Wednesday: 8 AM–6:30 PM | Thursday: 8 AM–6:30 PM | Friday: 8 AM–6:30 PM | Saturday: 8 AM–2:30 PM | Sunday: Closed</t>
  </si>
  <si>
    <t>BG 24/7 Auto Service</t>
  </si>
  <si>
    <t>https://www.google.com/maps/place/data=!3m1!4b1!4m2!3m1!1s0x89c2f7dcdba0d6b7:0xcdcdb17e72134d9e</t>
  </si>
  <si>
    <t>281 North Ave</t>
  </si>
  <si>
    <t>Hank's Service Center</t>
  </si>
  <si>
    <t>https://www.google.com/maps/place/data=!3m1!4b1!4m2!3m1!1s0x89c2f79ea48fe281:0x67f5a7777e6afb2c</t>
  </si>
  <si>
    <t>1024 Edgewater Ave</t>
  </si>
  <si>
    <t>Monday: 7:30 AM–5 PM | Tuesday: 7:30 AM–5 PM | Wednesday: 7:30 AM–5 PM | Thursday: 7:30 AM–5 PM | Friday: 7:30 AM–5 PM | Saturday: Closed | Sunday: Closed</t>
  </si>
  <si>
    <t>Woori Auto Repair &amp; Body Corporation</t>
  </si>
  <si>
    <t>https://www.google.com/maps/place/data=!3m1!4b1!4m2!3m1!1s0x89c2f716827b21d9:0xcbdc1ca080d5518a</t>
  </si>
  <si>
    <t>416 Commercial Ave</t>
  </si>
  <si>
    <t>Monday: 8 AM–6 PM | Tuesday: 8 AM–6 PM | Wednesday: 8 AM–6 PM | Thursday: 8 AM–6 PM | Friday: 8 AM–6 PM | Saturday: 8 AM–5 PM | Sunday: Closed</t>
  </si>
  <si>
    <t>Lee Family Auto Repair</t>
  </si>
  <si>
    <t>https://www.google.com/maps/place/data=!3m1!4b1!4m2!3m1!1s0x89c2f7ff8bbececf:0xbfa1b8731aa56d37</t>
  </si>
  <si>
    <t>465 11th St</t>
  </si>
  <si>
    <t>Bergen Auto Specialist</t>
  </si>
  <si>
    <t>https://www.google.com/maps/place/data=!3m1!4b1!4m2!3m1!1s0x89c2f7a90479a7db:0x23527b6160d30913</t>
  </si>
  <si>
    <t>728 Bergen Blvd</t>
  </si>
  <si>
    <t>Monday: 8:30 AM–6 PM | Tuesday: 8:30 AM–6 PM | Wednesday: 8:30 AM–6 PM | Thursday: 8:30 AM–6 PM | Friday: 8:30 AM–6 PM | Saturday: Closed | Sunday: Closed</t>
  </si>
  <si>
    <t>Neil's Automotive</t>
  </si>
  <si>
    <t>https://www.google.com/maps/place/data=!3m1!4b1!4m2!3m1!1s0x89c2f9e02cba8e99:0x7a15fd8fe2615ab5</t>
  </si>
  <si>
    <t>125 Railroad Ave</t>
  </si>
  <si>
    <t>S &amp; S Automotive LLC</t>
  </si>
  <si>
    <t>https://www.google.com/maps/place/data=!3m1!4b1!4m2!3m1!1s0x89c257ded179b00b:0xb97f4b5291761756</t>
  </si>
  <si>
    <t>1620 Paterson Plank Rd</t>
  </si>
  <si>
    <t>Secaucus</t>
  </si>
  <si>
    <t>Stallion Auto Services</t>
  </si>
  <si>
    <t>https://www.google.com/maps/place/data=!3m1!4b1!4m2!3m1!1s0x89c2f9cd6eabc697:0x7540cb955cb36fac</t>
  </si>
  <si>
    <t>9 Liberty St</t>
  </si>
  <si>
    <t>Monday: 8 AM–5 PM | Tuesday: 8 AM–5 PM | Wednesday: 8 AM–5 PM | Thursday: 8 AM–5 PM | Friday: 8 AM–5 PM | Saturday: 8 AM–2 PM | Sunday: Closed</t>
  </si>
  <si>
    <t>Manny's Auto Repairs</t>
  </si>
  <si>
    <t>https://www.google.com/maps/place/data=!3m1!4b1!4m2!3m1!1s0x89c2f7b874efff45:0x56bd3b670c95ce4c</t>
  </si>
  <si>
    <t>221 4th St</t>
  </si>
  <si>
    <t>Monday: 8 AM–6 PM | Tuesday: 8 AM–6 PM | Wednesday: 8 AM–6 PM | Thursday: 8 AM–6 PM | Friday: 8 AM–6 PM | Saturday: 8 AM–1 PM | Sunday: Closed</t>
  </si>
  <si>
    <t>Buxbaum Brothers Automotive</t>
  </si>
  <si>
    <t>https://www.google.com/maps/place/data=!3m1!4b1!4m2!3m1!1s0x89c2f9e217c476d1:0xec76b7e9be5ab27c</t>
  </si>
  <si>
    <t>Auto machine shop</t>
  </si>
  <si>
    <t>179 Railroad Ave</t>
  </si>
  <si>
    <t>Monday: 8 AM–3 PM | Tuesday: 8 AM–3 PM | Wednesday: 8 AM–3 PM | Thursday: 8 AM–3 PM | Friday: 8 AM–3 PM | Saturday: Closed | Sunday: Closed</t>
  </si>
  <si>
    <t>Website</t>
  </si>
  <si>
    <t>Page Speed Scores on desktop</t>
  </si>
  <si>
    <t>Page Speed Scores on mobile</t>
  </si>
  <si>
    <t>Business Type</t>
  </si>
  <si>
    <t>JF Mechanical Heating &amp; Air Conditioning</t>
  </si>
  <si>
    <t>https://prosite.prophone.com/m/vC/Jf-mechanical-heating-air-conditioning/index</t>
  </si>
  <si>
    <t>https://www.google.com/maps/place/data=!3m1!4b1!4m2!3m1!1s0x89c2f95b1426c5b1:0x1c949e559e6940c9</t>
  </si>
  <si>
    <t>10 4th St</t>
  </si>
  <si>
    <t>Passaic</t>
  </si>
  <si>
    <t>Monday: 6 AM–10 PM | Tuesday: 6 AM–10 PM | Wednesday: 6 AM–10 PM | Thursday: 6 AM–10 PM | Friday: 6 AM–10 PM | Saturday: 7 AM–6 PM | Sunday: 8 AM–10 PM</t>
  </si>
  <si>
    <t>American Way Plumbing, Heating &amp; Air Conditioning</t>
  </si>
  <si>
    <t>https://plumbingheatingcoolingnj.com/service-area/clifton-nj-plumber-heating-air-conditioning-service-repair-installation</t>
  </si>
  <si>
    <t>https://www.google.com/maps/place/data=!3m1!4b1!4m2!3m1!1s0x89c2fea418a42b61:0x54deabc529b691d9</t>
  </si>
  <si>
    <t>15 E 2nd St</t>
  </si>
  <si>
    <t>Clifton</t>
  </si>
  <si>
    <t>HEATING PRO 24/7</t>
  </si>
  <si>
    <t>https://heatingpro.ueniweb.com</t>
  </si>
  <si>
    <t>https://www.google.com/maps/place/data=!3m1!4b1!4m2!3m1!1s0x89c2f9397bf23e2d:0xc755ec8c26f3cf13</t>
  </si>
  <si>
    <t>347 Lanza Ave</t>
  </si>
  <si>
    <t>State Electric Inc</t>
  </si>
  <si>
    <t>http://linkedin.com/company%20state-electric-inc</t>
  </si>
  <si>
    <t>https://www.google.com/maps/place/data=!3m1!4b1!4m2!3m1!1s0x89c2f78a04d750ef:0x4c2170cbfce03d5c</t>
  </si>
  <si>
    <t>190 Mehrhof Rd</t>
  </si>
  <si>
    <t>SPARTAN ELECTRIC Electric Unlimited Infinite Wiring Solutions(NJ/NY)</t>
  </si>
  <si>
    <t>http://www.instagram.com/nj.wiring.remodeling</t>
  </si>
  <si>
    <t>https://www.google.com/maps/place/data=!3m1!4b1!4m2!3m1!1s0x8d73eb31df9c467f:0x37d2339bd8d43ad9</t>
  </si>
  <si>
    <t>1475 Bergen Blvd Suite J</t>
  </si>
  <si>
    <t>ABB Electric</t>
  </si>
  <si>
    <t>http://electricalland.com/Fort-Lee</t>
  </si>
  <si>
    <t>https://www.google.com/maps/place/data=!3m1!4b1!4m2!3m1!1s0x89c2f6e57115927f:0x6a03f1ec9a446983</t>
  </si>
  <si>
    <t>1450 Palisade Ave # 4M</t>
  </si>
  <si>
    <t>Top Electric Inc</t>
  </si>
  <si>
    <t>http://localtrustedelectricians.com/Fairview</t>
  </si>
  <si>
    <t>https://www.google.com/maps/place/data=!3m1!4b1!4m2!3m1!1s0x89c2f7bd832d3e11:0xee21b4c2701f6232</t>
  </si>
  <si>
    <t>64 Franklin Ave</t>
  </si>
  <si>
    <t>United Rentals - Power &amp; HVAC</t>
  </si>
  <si>
    <t>https://www.unitedrentals.com/locations/nj/ridgefield-park/power-hvac-rentals/k58</t>
  </si>
  <si>
    <t>https://www.google.com/maps/place/data=!3m1!4b1!4m2!3m1!1s0x89c2fbf755cea295:0x82627aa93db1d4d4</t>
  </si>
  <si>
    <t>260 Bergen Turnpike</t>
  </si>
  <si>
    <t>Monday: 7 AM–5 PM | Tuesday: 7 AM–5 PM | Wednesday: 7 AM–5 PM | Thursday: 7 AM–5 PM | Friday: 7 AM–5 PM | Saturday: Closed | Sunday: Closed</t>
  </si>
  <si>
    <t>Hart Electric</t>
  </si>
  <si>
    <t>https://usmaperx.org/details/hart-electric-ChIJFfn</t>
  </si>
  <si>
    <t>https://www.google.com/maps/place/data=!3m1!4b1!4m2!3m1!1s0x89c2f9c5e3fcf915:0xe6688cd52ca6411e</t>
  </si>
  <si>
    <t>25 Wilson St</t>
  </si>
  <si>
    <t>LEC Dryer vent &amp; Air Duct Cleaning Services Ridgefield, NJ</t>
  </si>
  <si>
    <t>https://city-electricians.com/Ridgefield</t>
  </si>
  <si>
    <t>https://www.google.com/maps/place/data=!3m1!4b1!4m2!3m1!1s0x89c2f79955555555:0xd8f22485df82790b</t>
  </si>
  <si>
    <t>N/A</t>
  </si>
  <si>
    <t>NJ Electrician</t>
  </si>
  <si>
    <t>https://sites.google.com/view/njelectrician/home</t>
  </si>
  <si>
    <t>https://www.google.com/maps/place/data=!3m1!4b1!4m2!3m1!1s0x21cbeb279c9de93:0x34ff9446465d70f7</t>
  </si>
  <si>
    <t>Monday: 9 AM–7 PM | Tuesday: 9 AM–7 PM | Wednesday: 9 AM–7 PM | Thursday: 9 AM–7 PM | Friday: 9 AM–7 PM | Saturday: 9 AM–7 PM | Sunday: 9 AM–7 PM</t>
  </si>
  <si>
    <t>Life Chiropractic &amp; Acupuncture</t>
  </si>
  <si>
    <t>https://www.123yourhealth.com</t>
  </si>
  <si>
    <t>https://www.google.com/maps/place/data=!3m1!4b1!4m2!3m1!1s0x89c2f7e7b359c2b5:0xb5f8d3cb5dfb8a1e</t>
  </si>
  <si>
    <t>8500 John F. Kennedy Blvd 2nd floor</t>
  </si>
  <si>
    <t>North Bergen</t>
  </si>
  <si>
    <t>Monday: 8 AM–7 PM | Tuesday: 3–7 PM | Wednesday: 8 AM–7 PM | Thursday: 8 AM–7 PM | Friday: 8–11 AM | Saturday: 8:30–11:30 AM | Sunday: Closed</t>
  </si>
  <si>
    <t>Angel M. Carrion, DC</t>
  </si>
  <si>
    <t>https://hackensackwellnesscenter.com</t>
  </si>
  <si>
    <t>https://www.google.com/maps/place/data=!3m1!4b1!4m2!3m1!1s0x89c2fa04de5ae22d:0xcff932c82be66b</t>
  </si>
  <si>
    <t>335A Main St</t>
  </si>
  <si>
    <t>Monday: 9 AM–1 PM, 3–6 PM | Tuesday: 9 AM–1 PM, 3–6 PM | Wednesday: 9 AM–1 PM, 3–6 PM | Thursday: 9 AM–1 PM, 3–6 PM | Friday: Closed | Saturday: Closed | Sunday: Closed</t>
  </si>
  <si>
    <t>Lefkowitz Chiropractic</t>
  </si>
  <si>
    <t>https://weence.com/medical/doctors/teaneck/lefkowitz-chiropractic</t>
  </si>
  <si>
    <t>https://www.google.com/maps/place/data=!3m1!4b1!4m2!3m1!1s0x89c2f751bc655555:0x328479be93e01d5a</t>
  </si>
  <si>
    <t>Kay Max Realty</t>
  </si>
  <si>
    <t>https://www.realtor.com/realestateagents/56b0a23a0fa4170100747ba5</t>
  </si>
  <si>
    <t>https://www.google.com/maps/place/data=!3m1!4b1!4m2!3m1!1s0x89c2f70e21795555:0x8dd1e677e4958a6a</t>
  </si>
  <si>
    <t>216 Broad Ave #3</t>
  </si>
  <si>
    <t>Century 21</t>
  </si>
  <si>
    <t>https://www.century21.com/real-estate/cliffside-park-nj/LCNJCLIFFSIDEPARK</t>
  </si>
  <si>
    <t>https://www.google.com/maps/place/data=!3m1!4b1!4m2!3m1!1s0x89c2f7c821457ca5:0xe661bb938fb227e1</t>
  </si>
  <si>
    <t>234 Walker St</t>
  </si>
  <si>
    <t>Esther Kang, Remax NOW</t>
  </si>
  <si>
    <t>https://homechannel.tistory.com</t>
  </si>
  <si>
    <t>https://www.google.com/maps/place/data=!3m1!4b1!4m2!3m1!1s0x2307f9d41cf9bd9f:0x9de4c5879070ede6</t>
  </si>
  <si>
    <t>Monday: 12–7 AM, 9 AM–7 PM | Tuesday: 9 AM–7 PM | Wednesday: 9 AM–7 PM | Thursday: 9 AM–7 PM | Friday: 9 AM–7 PM | Saturday: 9 AM–7 PM | Sunday: 9 AM–12 AM</t>
  </si>
  <si>
    <t>Rosa Santos Your Realtor @ Global Real Estate</t>
  </si>
  <si>
    <t>http://www.globalrealestate.realtor</t>
  </si>
  <si>
    <t>https://www.google.com/maps/place/data=!3m1!4b1!4m2!3m1!1s0x89c2f789e8d217eb:0x8d79c020282f4d32</t>
  </si>
  <si>
    <t>260 Columbia Ave Suite #12</t>
  </si>
  <si>
    <t>Monday: 9 AM–5 PM | Tuesday: 9 AM–5 PM | Wednesday: 9 AM–5 PM | Thursday: 9 AM–5 PM | Friday: 9 AM–5 PM | Saturday: 10 AM–3 PM | Sunday: Closed</t>
  </si>
  <si>
    <t>Century 21 Calabrese Realty</t>
  </si>
  <si>
    <t>http://www.century21.com</t>
  </si>
  <si>
    <t>https://www.google.com/maps/place/data=!3m1!4b1!4m2!3m1!1s0x89c2f7adf3bafc19:0xad479ab9a62bcd41</t>
  </si>
  <si>
    <t>Commercial real estate agency</t>
  </si>
  <si>
    <t>745 Palisade Ave</t>
  </si>
  <si>
    <t>Monday: 9 AM–8 PM | Tuesday: 9 AM–8 PM | Wednesday: 9 AM–8 PM | Thursday: 9 AM–8 PM | Friday: 9 AM–8 PM | Saturday: 9 AM–8 PM | Sunday: 9 AM–8 PM</t>
  </si>
  <si>
    <t>Eunice Hwang Realtor</t>
  </si>
  <si>
    <t>https://www.zillow.com/profile/EuniceHwangRealtor</t>
  </si>
  <si>
    <t>https://www.google.com/maps/place/data=!3m1!4b1!4m2!3m1!1s0x89c2f7b923d2e423:0xb1a2879d7617f6ee</t>
  </si>
  <si>
    <t>Law Offices of Dennis J. Francis</t>
  </si>
  <si>
    <t>http://www.avvo.com</t>
  </si>
  <si>
    <t>https://www.google.com/maps/place/data=!3m1!4b1!4m2!3m1!1s0x89c2f9cd70841e57:0x8e9edb28baed3a4</t>
  </si>
  <si>
    <t>37 Liberty St #1</t>
  </si>
  <si>
    <t>First Choice Plumbing Heating and Air Conditioning</t>
  </si>
  <si>
    <t>https://firstchoicenj.com</t>
  </si>
  <si>
    <t>https://www.google.com/maps/place/data=!3m1!4b1!4m2!3m1!1s0x89c2f9089b4bb4a5:0x8eaeb1ad353e1bea</t>
  </si>
  <si>
    <t>396 Passaic Ave</t>
  </si>
  <si>
    <t>Lodi</t>
  </si>
  <si>
    <t>Blueray Heating and Cooling</t>
  </si>
  <si>
    <t>https://bluerayheatingandcooling.com</t>
  </si>
  <si>
    <t>https://www.google.com/maps/place/data=!3m1!4b1!4m2!3m1!1s0x89c2ffde348130d7:0x89518d4ddc76fdfe</t>
  </si>
  <si>
    <t>91 Knapp Ave</t>
  </si>
  <si>
    <t>ANNEX HVAC LLC – AC &amp; Heating Services Garfield NJ</t>
  </si>
  <si>
    <t>http://annexhvacsolutions.com</t>
  </si>
  <si>
    <t>https://www.google.com/maps/place/data=!3m1!4b1!4m2!3m1!1s0x89c255a549ecffff:0xe3c1eea698095a80</t>
  </si>
  <si>
    <t>Dillon Heating &amp; Cooling</t>
  </si>
  <si>
    <t>https://dillonheatingac.com</t>
  </si>
  <si>
    <t>https://www.google.com/maps/place/data=!3m1!4b1!4m2!3m1!1s0x89c2f98bb67fe027:0x70612d0f1c03f50d</t>
  </si>
  <si>
    <t>70 Outwater Ln suite 214</t>
  </si>
  <si>
    <t>R Traupmann HVAC LLC</t>
  </si>
  <si>
    <t>https://www.rtraupmannhvac.com</t>
  </si>
  <si>
    <t>https://www.google.com/maps/place/data=!3m1!4b1!4m2!3m1!1s0x89c2f94b2cb4f789:0x5a473db345984cd0</t>
  </si>
  <si>
    <t>262 Parker Ave</t>
  </si>
  <si>
    <t>All Week Plumbing</t>
  </si>
  <si>
    <t>http://allweekplumbing.com</t>
  </si>
  <si>
    <t>https://www.google.com/maps/place/data=!3m1!4b1!4m2!3m1!1s0x89c2faac9633339d:0x68f5b7a1029befaa</t>
  </si>
  <si>
    <t>100 Outwater Ln Suite L</t>
  </si>
  <si>
    <t>TRI-COUNTY MECHANICAL</t>
  </si>
  <si>
    <t>http://tcmhvac.com</t>
  </si>
  <si>
    <t>https://www.google.com/maps/place/data=!3m1!4b1!4m2!3m1!1s0x89c2fed28e83ab29:0xc3a7b1ddcfd6245a</t>
  </si>
  <si>
    <t>209 Madison St</t>
  </si>
  <si>
    <t>Super Cooling &amp; Heating LLC</t>
  </si>
  <si>
    <t>https://supercoolingandheatingllc.net</t>
  </si>
  <si>
    <t>https://www.google.com/maps/place/data=!3m1!4b1!4m2!3m1!1s0x89c2ffb700efc7bd:0x6a94f760faabcb8f</t>
  </si>
  <si>
    <t>Monday: Open 24 hours | Tuesday: Open 24 hours | Wednesday: 8 AM–6 PM | Thursday: Open 24 hours | Friday: 8 AM–6 PM | Saturday: 8 AM–6 PM | Sunday: Closed</t>
  </si>
  <si>
    <t>Complete Heating and Cooling LLC</t>
  </si>
  <si>
    <t>http://www.completehvacnj.com</t>
  </si>
  <si>
    <t>https://www.google.com/maps/place/data=!3m1!4b1!4m2!3m1!1s0x89c2f96df5224be9:0x741016b2f2610650</t>
  </si>
  <si>
    <t>25 1st St</t>
  </si>
  <si>
    <t>Expert Duct Cleaning</t>
  </si>
  <si>
    <t>https://expertductcleaning.com</t>
  </si>
  <si>
    <t>https://www.google.com/maps/place/data=!3m1!4b1!4m2!3m1!1s0x89c23a29793c74b9:0xe3865f3aff7f7797</t>
  </si>
  <si>
    <t>160 Market St</t>
  </si>
  <si>
    <t>Racso Plumbing &amp; Heating LLC</t>
  </si>
  <si>
    <t>https://www.racsoplumbing.com</t>
  </si>
  <si>
    <t>https://www.google.com/maps/place/data=!3m1!4b1!4m2!3m1!1s0x89c2f77a430cdadb:0xefe58dfe1939aae3</t>
  </si>
  <si>
    <t>130 Mt Vernon St</t>
  </si>
  <si>
    <t>TP Plumbing LLC</t>
  </si>
  <si>
    <t>http://www.tpplumbingllc.com</t>
  </si>
  <si>
    <t>https://www.google.com/maps/place/data=!3m1!4b1!4m2!3m1!1s0x89c2f75d1b950ebd:0xb151a23f232f26f6</t>
  </si>
  <si>
    <t>16 Paulison Ave Unit 3</t>
  </si>
  <si>
    <t>Monday: 7 AM–6 PM | Tuesday: 7 AM–6 PM | Wednesday: 7 AM–6 PM | Thursday: 7 AM–6 PM | Friday: 7 AM–6 PM | Saturday: 7 AM–6 PM | Sunday: Closed</t>
  </si>
  <si>
    <t>Schaaf Plumbing &amp; Heating Inc</t>
  </si>
  <si>
    <t>https://schaafplumbing.com</t>
  </si>
  <si>
    <t>https://www.google.com/maps/place/data=!3m1!4b1!4m2!3m1!1s0x89c2f7a564790e35:0xa391f8a304cfb05b</t>
  </si>
  <si>
    <t>586 Bergen Blvd Suite 1</t>
  </si>
  <si>
    <t>Perfect Plumbing Heating Cooling &amp; Drain Cleaning</t>
  </si>
  <si>
    <t>http://perfectplumbingnj.com</t>
  </si>
  <si>
    <t>https://www.google.com/maps/place/data=!3m1!4b1!4m2!3m1!1s0x89c2f7c759205b21:0x6020e4f1be8f2e46</t>
  </si>
  <si>
    <t>42 E Columbia Ave</t>
  </si>
  <si>
    <t>BZ Dependable Plumbing and Heating Inc</t>
  </si>
  <si>
    <t>https://www.bzdependable.com</t>
  </si>
  <si>
    <t>https://www.google.com/maps/place/data=!3m1!4b1!4m2!3m1!1s0x89c2f093fab32ccd:0x6dbccc72d13e7721</t>
  </si>
  <si>
    <t>763 River Rd</t>
  </si>
  <si>
    <t>Water Flow Plumbing &amp; Heating LLC</t>
  </si>
  <si>
    <t>https://www.waterflowplumbingllc.com</t>
  </si>
  <si>
    <t>https://www.google.com/maps/place/data=!3m1!4b1!4m2!3m1!1s0x89c2f7b4e6ce3969:0x3de1b003a7499ca3</t>
  </si>
  <si>
    <t>7th St</t>
  </si>
  <si>
    <t>Triple P Plumbing &amp; Heating</t>
  </si>
  <si>
    <t>https://www.triplepplumbingandheating.com</t>
  </si>
  <si>
    <t>https://www.google.com/maps/place/data=!3m1!4b1!4m2!3m1!1s0x89c2f9c4ea394d9f:0xa65f853f01ca0835</t>
  </si>
  <si>
    <t>19 Harding Pl</t>
  </si>
  <si>
    <t>Drain Man Plumbing &amp; Heating</t>
  </si>
  <si>
    <t>http://drainmanplumbingnj.com</t>
  </si>
  <si>
    <t>https://www.google.com/maps/place/data=!3m1!4b1!4m2!3m1!1s0x89c2f70e0d350ceb:0xce5d7d8f6d2474a0</t>
  </si>
  <si>
    <t>Nick's Sewage &amp; Drain Cleaning LLC</t>
  </si>
  <si>
    <t>https://www.nicksseweranddraincleaningllc.com</t>
  </si>
  <si>
    <t>https://www.google.com/maps/place/data=!3m1!4b1!4m2!3m1!1s0x89c2f7e8b3d5bd77:0x917fdce5db3fb37b</t>
  </si>
  <si>
    <t>Morin Plumbing &amp; Heating</t>
  </si>
  <si>
    <t>http://www.morinplumbing.com</t>
  </si>
  <si>
    <t>https://www.google.com/maps/place/data=!3m1!4b1!4m2!3m1!1s0x89c2f7aca4875b93:0x533b56f24cf93940</t>
  </si>
  <si>
    <t>275 Lafayette Ave</t>
  </si>
  <si>
    <t>NJ Plumbing and Heating Guys LLC.</t>
  </si>
  <si>
    <t>http://njplumbingandheatingguys.com</t>
  </si>
  <si>
    <t>https://www.google.com/maps/place/data=!3m1!4b1!4m2!3m1!1s0xa8f26054ebe0c015:0x13e82931acd8194c</t>
  </si>
  <si>
    <t>Monday: 7 AM–12 AM | Tuesday: 7 AM–12 AM | Wednesday: 7 AM–12 AM | Thursday: 7 AM–12 AM | Friday: 7 AM–12 AM | Saturday: 7 AM–12 AM | Sunday: 7 AM–12 AM</t>
  </si>
  <si>
    <t>Blue Sky Plumbing Heating Cooling &amp; Drain Cleaning</t>
  </si>
  <si>
    <t>https://bluesky-plumbing.com/plumbing-services-in-little-ferry-nj</t>
  </si>
  <si>
    <t>https://www.google.com/maps/place/data=!3m1!4b1!4m2!3m1!1s0x89c2f97e7b494e39:0x6aa4d15f18e326d3</t>
  </si>
  <si>
    <t>220 US-46</t>
  </si>
  <si>
    <t>Bogota Pro Plumbers Heating AC</t>
  </si>
  <si>
    <t>https://www.bogotaplumbernj.com</t>
  </si>
  <si>
    <t>https://www.google.com/maps/place/data=!3m1!4b1!4m2!3m1!1s0x89c2f76ad3573be7:0x5d1894374ffdac84</t>
  </si>
  <si>
    <t>66 W Broad St</t>
  </si>
  <si>
    <t>City Plumbing Heating Air Condtioning &amp; Drain Service</t>
  </si>
  <si>
    <t>https://cityplumbersnj.com/city-plumbing-heating-air-condtioning-drain-service-in-moonachie-new-jersey</t>
  </si>
  <si>
    <t>https://www.google.com/maps/place/data=!3m1!4b1!4m2!3m1!1s0x89c2f9b70cf26587:0x4275daad443a9bb4</t>
  </si>
  <si>
    <t>35 Moonachie Rd 2nd fl</t>
  </si>
  <si>
    <t>Len The Plumber, LLC</t>
  </si>
  <si>
    <t>https://lentheplumber.com/new-jersey-area/russo-bros-serving-passaic-county</t>
  </si>
  <si>
    <t>https://www.google.com/maps/place/data=!3m1!4b1!4m2!3m1!1s0x89c2f9d80d75d3cb:0x142d23a022a630b9</t>
  </si>
  <si>
    <t>380 North St Suite A</t>
  </si>
  <si>
    <t>Teterboro</t>
  </si>
  <si>
    <t>All Week Heating &amp; Plumbing Little Ferry NJ</t>
  </si>
  <si>
    <t>http://allweekplumbing.com/heating-little-ferry-nj.html</t>
  </si>
  <si>
    <t>https://www.google.com/maps/place/data=!3m1!4b1!4m2!3m1!1s0x89c2f94fc7c3fa71:0xb958257c03dabb37</t>
  </si>
  <si>
    <t>Monday: 12 AM–11 PM | Tuesday: 12 AM–11 PM | Wednesday: 12 AM–11 PM | Thursday: 12 AM–11 PM | Friday: 12 AM–11 PM | Saturday: 12 AM–11 PM | Sunday: 12 AM–11 PM</t>
  </si>
  <si>
    <t>Toledo Plumbing &amp; Heating Inc</t>
  </si>
  <si>
    <t>https://toledoplumbingandheating.com</t>
  </si>
  <si>
    <t>https://www.google.com/maps/place/data=!3m1!4b1!4m2!3m1!1s0x89c25602f2a350a1:0x9d670a76febd3cb</t>
  </si>
  <si>
    <t>17 Vreeland St</t>
  </si>
  <si>
    <t>Rooter Experts and Drain Cleaning</t>
  </si>
  <si>
    <t>https://rooterexpertsdraincleaning.com</t>
  </si>
  <si>
    <t>https://www.google.com/maps/place/data=!3m1!4b1!4m2!3m1!1s0x89c2f994e8286353:0x33b5684c4d36abcc</t>
  </si>
  <si>
    <t>74 Bruno St</t>
  </si>
  <si>
    <t>Royal Rooter and Drain Cleaning LLC</t>
  </si>
  <si>
    <t>https://www.royalrooterdraincleaning.com</t>
  </si>
  <si>
    <t>https://www.google.com/maps/place/data=!3m1!4b1!4m2!3m1!1s0x89c2f9a1464153f5:0x670f15dfe6c1b4b7</t>
  </si>
  <si>
    <t>74 Jefferson Ave</t>
  </si>
  <si>
    <t>Pepe Plumbing &amp; Heating Co</t>
  </si>
  <si>
    <t>https://pepeplumbinginc.com</t>
  </si>
  <si>
    <t>https://www.google.com/maps/place/data=!3m1!4b1!4m2!3m1!1s0x89c2f909076c7987:0x42138317c2bdb23c</t>
  </si>
  <si>
    <t>171 Boulevard</t>
  </si>
  <si>
    <t>Hasbrouck Heights</t>
  </si>
  <si>
    <t>Teanecks Top Plumbing Heating and Air Conditioning</t>
  </si>
  <si>
    <t>http://teaneckplumbingheatingcoolingnj.com</t>
  </si>
  <si>
    <t>https://www.google.com/maps/place/data=!3m1!4b1!4m2!3m1!1s0x89c2f0a5f70e016d:0xa742dc4b3eeb520c</t>
  </si>
  <si>
    <t>492 Cedar Ln #510</t>
  </si>
  <si>
    <t>Muccia Plumbing, Heating &amp; AC</t>
  </si>
  <si>
    <t>https://mucciaplumbing.com/residential-services</t>
  </si>
  <si>
    <t>https://www.google.com/maps/place/data=!3m1!4b1!4m2!3m1!1s0x89c2fa0efc8ca48f:0x111570649971b381</t>
  </si>
  <si>
    <t>57 Orchard St</t>
  </si>
  <si>
    <t>Henry Mulder Plumbing-Heating</t>
  </si>
  <si>
    <t>http://mulderplumbing.com</t>
  </si>
  <si>
    <t>https://www.google.com/maps/place/data=!3m1!4b1!4m2!3m1!1s0x89c2f0baadff1a67:0xec842ee5e132ce61</t>
  </si>
  <si>
    <t>Heating contractor</t>
  </si>
  <si>
    <t>838 Palisade Ave #2</t>
  </si>
  <si>
    <t>Econo Plumbing &amp; Heating</t>
  </si>
  <si>
    <t>http://www.econoplumbingandheating.com</t>
  </si>
  <si>
    <t>https://www.google.com/maps/place/data=!3m1!4b1!4m2!3m1!1s0x89c2f7ad57f24465:0xcaff19e0b188927c</t>
  </si>
  <si>
    <t>99 Crescent Ave</t>
  </si>
  <si>
    <t>City Plumbers Heating Air Conditioning &amp; Drain Cleaning</t>
  </si>
  <si>
    <t>https://cityplumbersnj.com/city-plumbers-heating-air-conditioning-drain-cleaning-in-englewood-new-jersey</t>
  </si>
  <si>
    <t>https://www.google.com/maps/place/data=!3m1!4b1!4m2!3m1!1s0x89c2f1744fad93cf:0x42e074de5d28c600</t>
  </si>
  <si>
    <t>1 W Forest Ave</t>
  </si>
  <si>
    <t>Englewood</t>
  </si>
  <si>
    <t>Dream Home Plumbing &amp; Heating</t>
  </si>
  <si>
    <t>https://www.dhplumber.com</t>
  </si>
  <si>
    <t>https://www.google.com/maps/place/data=!3m1!4b1!4m2!3m1!1s0x89c2f75153454dc7:0xeb862d124f7c255a</t>
  </si>
  <si>
    <t>1610 Center Ave</t>
  </si>
  <si>
    <t>Monday: 8 AM–7 PM | Tuesday: 8 AM–7 PM | Wednesday: 8 AM–7 PM | Thursday: 8 AM–7 PM | Friday: 8 AM–7 PM | Saturday: 10 AM–7 PM | Sunday: 10 AM–4 PM</t>
  </si>
  <si>
    <t>Kevin The Plumber Plumbing &amp; Heating LLC</t>
  </si>
  <si>
    <t>http://www.kevintheplumber.org</t>
  </si>
  <si>
    <t>https://www.google.com/maps/place/data=!3m1!4b1!4m2!3m1!1s0x468201d7e15d5b65:0x7209a04c713c41c5</t>
  </si>
  <si>
    <t>127 Pine St</t>
  </si>
  <si>
    <t>Gashi Plumbing Heating &amp; Sewer LLC</t>
  </si>
  <si>
    <t>https://gashiplumbing.com</t>
  </si>
  <si>
    <t>https://www.google.com/maps/place/data=!3m1!4b1!4m2!3m1!1s0x417bf1891674fb37:0x7721c7e8a5772ff5</t>
  </si>
  <si>
    <t>Rooter Drain Service</t>
  </si>
  <si>
    <t>http://rooterdrainservice.com</t>
  </si>
  <si>
    <t>https://www.google.com/maps/place/data=!3m1!4b1!4m2!3m1!1s0x89c2f9f632c161f1:0x683418d4d5c644a1</t>
  </si>
  <si>
    <t>158 Kennedy Dr</t>
  </si>
  <si>
    <t>CITY Plumbing Heating A/C &amp; Drain Rooter</t>
  </si>
  <si>
    <t>https://cityplumbersnj.com/city-plumbing-heating-air-conditioning-service-in-hackensack-new-jersey</t>
  </si>
  <si>
    <t>https://www.google.com/maps/place/data=!3m1!4b1!4m2!3m1!1s0x89c2fb4dd74e8da5:0xfc661d7f1761f184</t>
  </si>
  <si>
    <t>160 Johnson Ave</t>
  </si>
  <si>
    <t>First Choice Plumbing, Heating, Air Conditioning &amp; Electrical (Hackensack)</t>
  </si>
  <si>
    <t>https://www.fccomfort.com</t>
  </si>
  <si>
    <t>https://www.google.com/maps/place/data=!3m1!4b1!4m2!3m1!1s0x25b5e8803e49fdd1:0xa8f973985e3a52a7</t>
  </si>
  <si>
    <t>165 State St</t>
  </si>
  <si>
    <t>Thomas and Sons Plumbing &amp; Heating LLC</t>
  </si>
  <si>
    <t>https://lodiplumbingheating.com</t>
  </si>
  <si>
    <t>https://www.google.com/maps/place/data=!3m1!4b1!4m2!3m1!1s0x89c2f9214b217805:0x9b95d61fb9f1422e</t>
  </si>
  <si>
    <t>119 Hunter St</t>
  </si>
  <si>
    <t>Monday: 8 AM–9 PM | Tuesday: 8 AM–9 PM | Wednesday: 8 AM–9 PM | Thursday: 8 AM–9 PM | Friday: 8 AM–9 PM | Saturday: 8 AM–9 PM | Sunday: Closed</t>
  </si>
  <si>
    <t>Hackensack Electrical Contractor</t>
  </si>
  <si>
    <t>http://super-electrical-crew.com/Ridgefield-Park</t>
  </si>
  <si>
    <t>https://www.google.com/maps/place/data=!3m1!4b1!4m2!3m1!1s0x89c2f7784120c341:0xd83fabbf03cb0495</t>
  </si>
  <si>
    <t>295 Bergen Turnpike # D</t>
  </si>
  <si>
    <t>Advanced Electric</t>
  </si>
  <si>
    <t>https://njae.us</t>
  </si>
  <si>
    <t>https://www.google.com/maps/place/data=!3m1!4b1!4m2!3m1!1s0x209cf0a3842635bd:0xc95b755e1d86b441</t>
  </si>
  <si>
    <t>Monday: 9 AM–5 PM | Tuesday: 9 AM–5 PM | Wednesday: 9 AM–5 PM | Thursday: 9 AM–5 PM | Friday: 9 AM–5 PM | Saturday: 9 AM–5 PM | Sunday: 9 AM–5 AM</t>
  </si>
  <si>
    <t>Power &amp; Energy Tech Solutions</t>
  </si>
  <si>
    <t>https://www.p-e-techsolutions.com</t>
  </si>
  <si>
    <t>https://www.google.com/maps/place/data=!3m1!4b1!4m2!3m1!1s0x89c2f90709e12403:0x30f24188426e280b</t>
  </si>
  <si>
    <t>200A Gates Rd</t>
  </si>
  <si>
    <t>LJS Electric</t>
  </si>
  <si>
    <t>http://www.ljselectric.com</t>
  </si>
  <si>
    <t>https://www.google.com/maps/place/data=!3m1!4b1!4m2!3m1!1s0x89c2f83b617204cb:0xc656ddcf97171307</t>
  </si>
  <si>
    <t>Electrical installation service</t>
  </si>
  <si>
    <t>430 Commerce Blvd unit c</t>
  </si>
  <si>
    <t>Carlstadt</t>
  </si>
  <si>
    <t>Jordano Electric Co</t>
  </si>
  <si>
    <t>http://www.jordanoelectric.com</t>
  </si>
  <si>
    <t>https://www.google.com/maps/place/data=!3m1!4b1!4m2!3m1!1s0x89c2f9faa9dea101:0xe7c39df28153d452</t>
  </si>
  <si>
    <t>200 Hudson St</t>
  </si>
  <si>
    <t>A1 Electric, Heating, &amp; Air Conditioning</t>
  </si>
  <si>
    <t>http://a1electrichvac.com</t>
  </si>
  <si>
    <t>https://www.google.com/maps/place/data=!3m1!4b1!4m2!3m1!1s0x89c2f9f21e935e4b:0x10fd73c02b15fc62</t>
  </si>
  <si>
    <t>108 Troast St</t>
  </si>
  <si>
    <t>Live Current Electric</t>
  </si>
  <si>
    <t>http://www.livecurrentelectric.com</t>
  </si>
  <si>
    <t>https://www.google.com/maps/place/data=!3m1!4b1!4m2!3m1!1s0x2f1bb472a7334c11:0x8838ac158c5a8248</t>
  </si>
  <si>
    <t>371 Bergen Blvd</t>
  </si>
  <si>
    <t>Haddad Electric LLC</t>
  </si>
  <si>
    <t>https://www.haddadelectricnj.com</t>
  </si>
  <si>
    <t>https://www.google.com/maps/place/data=!3m1!4b1!4m2!3m1!1s0x89c2f8657c3c6dc1:0x36d9bbe3b5a25134</t>
  </si>
  <si>
    <t>300 Washington Ave #5</t>
  </si>
  <si>
    <t>YT Electrical Services</t>
  </si>
  <si>
    <t>https://ytelectrical.com/electrician-in-new-jersey</t>
  </si>
  <si>
    <t>https://www.google.com/maps/place/data=!3m1!4b1!4m2!3m1!1s0x25721da629a54f75:0xdf35d6750fa0d6d8</t>
  </si>
  <si>
    <t>158 Prospect St</t>
  </si>
  <si>
    <t>Monday: 8 AM–8 PM | Tuesday: 8 AM–8 PM | Wednesday: 8 AM–8 PM | Thursday: 8 AM–8 PM | Friday: 8 AM–8 PM | Saturday: 8 AM–8 PM | Sunday: 8 AM–8 PM</t>
  </si>
  <si>
    <t>Tony Electric Company LLC</t>
  </si>
  <si>
    <t>http://www.tonyelectriccompany.com</t>
  </si>
  <si>
    <t>https://www.google.com/maps/place/data=!3m1!4b1!4m2!3m1!1s0x89c2fa1e10ed02a9:0x68372670c05533bd</t>
  </si>
  <si>
    <t>131 Lawrence St</t>
  </si>
  <si>
    <t>Figlia Electric Company</t>
  </si>
  <si>
    <t>https://www.newjersey-electrical.com/electrician-in-hackensack</t>
  </si>
  <si>
    <t>https://www.google.com/maps/place/data=!3m1!4b1!4m2!3m1!1s0x89c2f9f5ab120877:0xe6a5966055e022e3</t>
  </si>
  <si>
    <t>140 Sussex St</t>
  </si>
  <si>
    <t>J Matone, Inc., Electrical Contr.</t>
  </si>
  <si>
    <t>https://www.google.com/maps/place/data=!3m1!4b1!4m2!3m1!1s0x89c2f64d48d8aef1:0x57caa2a81261b988</t>
  </si>
  <si>
    <t>Monday: 7:30 AM–4:30 PM | Tuesday: 7:30 AM–4:30 PM | Wednesday: 7:30 AM–4:30 PM | Thursday: 7:30 AM–4:30 PM | Friday: 7:30 AM–4:30 PM | Saturday: Closed | Sunday: Closed</t>
  </si>
  <si>
    <t>Barbaro Electric Co Inc</t>
  </si>
  <si>
    <t>http://www.barbaroelectric.com</t>
  </si>
  <si>
    <t>https://www.google.com/maps/place/data=!3m1!4b1!4m2!3m1!1s0x89c2f9ed574f3b6f:0xbfc3466a6716185d</t>
  </si>
  <si>
    <t>144 Lodi St</t>
  </si>
  <si>
    <t>Monday: 8 AM–4 AM | Tuesday: 8 AM–4 AM | Wednesday: 8 AM–4 AM | Thursday: 8 AM–4 AM | Friday: 8 AM–4 AM | Saturday: Closed | Sunday: Closed</t>
  </si>
  <si>
    <t>Triton Electrical Inc.</t>
  </si>
  <si>
    <t>http://www.tritonelectricalinc.com</t>
  </si>
  <si>
    <t>https://www.google.com/maps/place/data=!3m1!4b1!4m2!3m1!1s0x89c2f7b31a1b749f:0x788f404145c9a736</t>
  </si>
  <si>
    <t>1 Brg Plz N Suite 750</t>
  </si>
  <si>
    <t>Zimick Electric</t>
  </si>
  <si>
    <t>http://www.zimickelectric.com</t>
  </si>
  <si>
    <t>https://www.google.com/maps/place/data=!3m1!4b1!4m2!3m1!1s0x89c2f6f08536c4bb:0x12b189469331537d</t>
  </si>
  <si>
    <t>145 Coolidge Ave</t>
  </si>
  <si>
    <t>Monday: 7 AM–3:30 PM | Tuesday: 7 AM–3:30 PM | Wednesday: 7 AM–3:30 PM | Thursday: 7 AM–3:30 PM | Friday: 7 AM–3:30 PM | Saturday: Closed | Sunday: Closed</t>
  </si>
  <si>
    <t>Raymond Electrical Contractor, Inc.</t>
  </si>
  <si>
    <t>http://www.raymondelectrical.com</t>
  </si>
  <si>
    <t>https://www.google.com/maps/place/data=!3m1!4b1!4m2!3m1!1s0x89c2f9eda6c2a3dd:0xf822a31d032af9eb</t>
  </si>
  <si>
    <t>45 Worth St</t>
  </si>
  <si>
    <t>South Hackensack</t>
  </si>
  <si>
    <t>LSP Electrical Contractors</t>
  </si>
  <si>
    <t>http://lsp-electric.com</t>
  </si>
  <si>
    <t>https://www.google.com/maps/place/data=!3m1!4b1!4m2!3m1!1s0x89c2f0c117e68d59:0xd8f5ad4a10afe59</t>
  </si>
  <si>
    <t>1122 Teaneck Rd</t>
  </si>
  <si>
    <t>Centurion Electric Inc.</t>
  </si>
  <si>
    <t>http://www.centurionelectric.net</t>
  </si>
  <si>
    <t>https://www.google.com/maps/place/data=!3m1!4b1!4m2!3m1!1s0x89c2f98854c6075f:0x855cd977458d6548</t>
  </si>
  <si>
    <t>110A Hackensack St</t>
  </si>
  <si>
    <t>East Rutherford</t>
  </si>
  <si>
    <t>https://www.google.com/maps/place/data=!3m1!4b1!4m2!3m1!1s0x89c2f0f1d6849ab3:0xf3d6dc659a45fd9e</t>
  </si>
  <si>
    <t>20 Van Buskirk Rd</t>
  </si>
  <si>
    <t>Adc Electrical &amp; Communication</t>
  </si>
  <si>
    <t>http://adcec.com</t>
  </si>
  <si>
    <t>https://www.google.com/maps/place/data=!3m1!4b1!4m2!3m1!1s0x89c2f8331b9eb0b1:0xf3b0a8947da0a3b5</t>
  </si>
  <si>
    <t>Lightwire Electric</t>
  </si>
  <si>
    <t>https://lightwireelectric.com</t>
  </si>
  <si>
    <t>https://www.google.com/maps/place/data=!3m1!4b1!4m2!3m1!1s0x89c245eabfd2a369:0x3e45154cdc9ac58e</t>
  </si>
  <si>
    <t>96 Linwood Plaza Unit 332</t>
  </si>
  <si>
    <t>Monday: 8 AM–5 PM | Tuesday: 8 AM–5 PM | Wednesday: 8 AM–5 PM | Thursday: 8 AM–5 PM | Friday: 8 AM–5 PM | Saturday: 9 AM–2 PM | Sunday: Closed</t>
  </si>
  <si>
    <t>Troon Electric of New York</t>
  </si>
  <si>
    <t>https://troonelectric.com</t>
  </si>
  <si>
    <t>https://www.google.com/maps/place/data=!3m1!4b1!4m2!3m1!1s0x89c2f93f23877a85:0xfc7364efd6a08837</t>
  </si>
  <si>
    <t>Aesthetic Dental Center of Bergen County</t>
  </si>
  <si>
    <t>https://aestheticdentalcenters4you.com</t>
  </si>
  <si>
    <t>https://www.google.com/maps/place/data=!3m1!4b1!4m2!3m1!1s0x89c2f77b459bc79b:0xda1c5d48a2518db2</t>
  </si>
  <si>
    <t>Dr. Dental: Dentistry &amp; Braces</t>
  </si>
  <si>
    <t>https://www.mydrdental.com/location/new-jersey/hackensack</t>
  </si>
  <si>
    <t>https://www.google.com/maps/place/data=!3m1!4b1!4m2!3m1!1s0x89c2f9c55219de2b:0x150d2a37f8b5d7e9</t>
  </si>
  <si>
    <t>500 S River St</t>
  </si>
  <si>
    <t>Monday: 8 AM–7:30 PM | Tuesday: 8 AM–7:30 PM | Wednesday: 8 AM–7:30 PM | Thursday: 8 AM–7:30 PM | Friday: 8 AM–7:30 PM | Saturday: 9 AM–3 PM | Sunday: Closed</t>
  </si>
  <si>
    <t>Village Dental - Ridgefield Park, NJ</t>
  </si>
  <si>
    <t>https://villagedentalnj.com</t>
  </si>
  <si>
    <t>https://www.google.com/maps/place/data=!3m1!4b1!4m2!3m1!1s0x89c2f760b31f70e7:0x1cfff37db7170c74</t>
  </si>
  <si>
    <t>255 Main St</t>
  </si>
  <si>
    <t>Monday: 10:30 AM–8 PM | Tuesday: 10:30 AM–8 PM | Wednesday: Closed | Thursday: 8 AM–5 PM | Friday: 8 AM–1 PM | Saturday: Closed | Sunday: Closed</t>
  </si>
  <si>
    <t>NÜVA Smile</t>
  </si>
  <si>
    <t>https://www.nuvasmile.com/locations/ridgefield-park-office</t>
  </si>
  <si>
    <t>https://www.google.com/maps/place/data=!3m1!4b1!4m2!3m1!1s0x89c2f76143b1a6f3:0x2369fdc88e6100f7</t>
  </si>
  <si>
    <t>174-176 Main St</t>
  </si>
  <si>
    <t>Monday: 10 AM–7 PM | Tuesday: 9 AM–6 PM | Wednesday: 9 AM–6 PM | Thursday: 9 AM–4 PM | Friday: 9 AM–6 PM | Saturday: 9 AM–1 PM | Sunday: Closed</t>
  </si>
  <si>
    <t>Smile with Grace Dental Care</t>
  </si>
  <si>
    <t>https://www.smilewithgracedental.com</t>
  </si>
  <si>
    <t>https://www.google.com/maps/place/data=!3m1!4b1!4m2!3m1!1s0x89c2f74f7af39d27:0x34114320a81d634a</t>
  </si>
  <si>
    <t>195 Euclid Ave</t>
  </si>
  <si>
    <t>Monday: 12–6 PM | Tuesday: 8 AM–6 PM | Wednesday: Closed | Thursday: 8 AM–6 PM | Friday: 8 AM–6 PM | Saturday: 9 AM–3 PM | Sunday: Closed</t>
  </si>
  <si>
    <t>Curcio Fred DDS</t>
  </si>
  <si>
    <t>https://curciodental.com</t>
  </si>
  <si>
    <t>https://www.google.com/maps/place/data=!3m1!4b1!4m2!3m1!1s0x89c2f761306ef855:0x85c53efcfdec2681</t>
  </si>
  <si>
    <t>57 Mt Vernon St</t>
  </si>
  <si>
    <t>Monday: 9 AM–5 PM | Tuesday: 9 AM–7 PM | Wednesday: 9 AM–7 PM | Thursday: Closed | Friday: 9 AM–5 PM | Saturday: Closed | Sunday: Closed</t>
  </si>
  <si>
    <t>Complete Dental Works</t>
  </si>
  <si>
    <t>https://www.completedentalworks.com</t>
  </si>
  <si>
    <t>https://www.google.com/maps/place/data=!3m1!4b1!4m2!3m1!1s0x89c2fa2081ad84c7:0xffd3a2707e0deb1a</t>
  </si>
  <si>
    <t>104 Fort Lee Rd</t>
  </si>
  <si>
    <t>Monday: 8:30 AM–5 PM | Tuesday: 10 AM–5:30 PM | Wednesday: Closed | Thursday: 12–7 PM | Friday: 9 AM–5 PM | Saturday: 9 AM–3 PM | Sunday: Closed</t>
  </si>
  <si>
    <t>Time Dental Ridgefield</t>
  </si>
  <si>
    <t>https://timedentalgroup.com</t>
  </si>
  <si>
    <t>https://www.google.com/maps/place/data=!3m1!4b1!4m2!3m1!1s0x89c2f7f2cf8b77f5:0x50b0416defe1a0fb</t>
  </si>
  <si>
    <t>777 Broad Ave</t>
  </si>
  <si>
    <t>Monday: 9:30 AM–6 PM | Tuesday: Closed | Wednesday: 9:30 AM–6 PM | Thursday: 9:30 AM–1 PM | Friday: Closed | Saturday: 9 AM–1 PM | Sunday: Closed</t>
  </si>
  <si>
    <t>Erin Dental</t>
  </si>
  <si>
    <t>https://www.erindentaloflittleferry.com</t>
  </si>
  <si>
    <t>https://www.google.com/maps/place/data=!3m1!4b1!4m2!3m1!1s0x89c2f9946b8cb7cd:0xca75b2f252befb3e</t>
  </si>
  <si>
    <t>134 Washington Ave</t>
  </si>
  <si>
    <t>Monday: 9 AM–7 PM | Tuesday: 9 AM–6 PM | Wednesday: 9 AM–5 PM | Thursday: 9 AM–7 PM | Friday: Closed | Saturday: Closed | Sunday: Closed</t>
  </si>
  <si>
    <t>b Dental Spa at Bogota</t>
  </si>
  <si>
    <t>https://bogota.bdentalspa.com</t>
  </si>
  <si>
    <t>https://www.google.com/maps/place/data=!3m1!4b1!4m2!3m1!1s0x89c2f7548a98dc95:0xca626b42e2e34e9a</t>
  </si>
  <si>
    <t>85 E Main St</t>
  </si>
  <si>
    <t>Monday: 9 AM–6 PM | Tuesday: 9 AM–6 PM | Wednesday: 9 AM–6 PM | Thursday: 9 AM–6 PM | Friday: 9 AM–5 PM | Saturday: 9 AM–2 PM | Sunday: Closed</t>
  </si>
  <si>
    <t>Aesthetic Dental Center of Hackensack</t>
  </si>
  <si>
    <t>https://www.google.com/maps/place/data=!3m1!4b1!4m2!3m1!1s0x89c2fa102793c807:0x63e560fce1b64db6</t>
  </si>
  <si>
    <t>Cosmetic dentist</t>
  </si>
  <si>
    <t>163 Main St</t>
  </si>
  <si>
    <t>Smile Dental Studio of Ridgefield</t>
  </si>
  <si>
    <t>http://www.smiledentalst.com</t>
  </si>
  <si>
    <t>https://www.google.com/maps/place/data=!3m1!4b1!4m2!3m1!1s0x8b04369e2f9ba835:0xb82d1df656b1b8fe</t>
  </si>
  <si>
    <t>669 Broad Ave #202</t>
  </si>
  <si>
    <t>Monday: 9 AM–6 PM | Tuesday: 9 AM–6 PM | Wednesday: Closed | Thursday: 9 AM–2 PM | Friday: 9 AM–5 PM | Saturday: 9 AM–4 PM | Sunday: Closed</t>
  </si>
  <si>
    <t>Teaneck Dentist</t>
  </si>
  <si>
    <t>https://www.teaneck-dentist.com</t>
  </si>
  <si>
    <t>https://www.google.com/maps/place/data=!3m1!4b1!4m2!3m1!1s0x89c2f0ec67228e73:0xf88077d3c4486158</t>
  </si>
  <si>
    <t>1008 Teaneck Rd suite c</t>
  </si>
  <si>
    <t>Monday: 10 AM–7 PM | Tuesday: 9 AM–6 PM | Wednesday: 11 AM–8 PM | Thursday: 9 AM–6 PM | Friday: 9 AM–1 PM | Saturday: Closed | Sunday: 9 AM–1 PM</t>
  </si>
  <si>
    <t>Quality Dental Health (Now: Little Ferry Smiles)</t>
  </si>
  <si>
    <t>https://littleferrysmiles.com</t>
  </si>
  <si>
    <t>https://www.google.com/maps/place/data=!3m1!4b1!4m2!3m1!1s0x89c2f9d2774b0513:0xb90d0f6419bd1e4f</t>
  </si>
  <si>
    <t>211 Washington Ave</t>
  </si>
  <si>
    <t>Monday: 8 AM–8 PM | Tuesday: 8 AM–8 PM | Wednesday: 8 AM–8 PM | Thursday: 8 AM–8 PM | Friday: 8 AM–8 PM | Saturday: 8 AM–8 PM | Sunday: Closed</t>
  </si>
  <si>
    <t>Little Ferry Smiles : Sachar Bhupinder DDS</t>
  </si>
  <si>
    <t>http://www.littleferrysmiles.com</t>
  </si>
  <si>
    <t>https://www.google.com/maps/place/data=!3m1!4b1!4m2!3m1!1s0x89c2f9d271ccefd3:0x3ee62874562d75a4</t>
  </si>
  <si>
    <t>Monday: 8 AM–8 PM | Tuesday: 8 AM–8 PM | Wednesday: 8 AM–8 PM | Thursday: 8 AM–8 PM | Friday: 8 AM–8 PM | Saturday: 8 AM–6 PM | Sunday: Closed</t>
  </si>
  <si>
    <t>E-Dental Associates PC</t>
  </si>
  <si>
    <t>http://www.edentalnj.com</t>
  </si>
  <si>
    <t>https://www.google.com/maps/place/data=!3m1!4b1!4m2!3m1!1s0x89c2f79ee0187cf7:0xf8292c6979aaf195</t>
  </si>
  <si>
    <t>605 Broad Ave STE 203</t>
  </si>
  <si>
    <t>Monday: Closed | Tuesday: 9 AM–5 PM | Wednesday: Closed | Thursday: 9 AM–6 PM | Friday: Closed | Saturday: 9 AM–5 PM | Sunday: Closed</t>
  </si>
  <si>
    <t>Advanced Family Dental Care, LLC</t>
  </si>
  <si>
    <t>https://www.vallejofamilydental.com</t>
  </si>
  <si>
    <t>https://www.google.com/maps/place/data=!3m1!4b1!4m2!3m1!1s0x89c2f9f40868b52b:0x5e28bca1853cc8a6</t>
  </si>
  <si>
    <t>87 Essex St</t>
  </si>
  <si>
    <t>Monday: 9 AM–7 PM | Tuesday: 9 AM–5 PM | Wednesday: 9 AM–7 PM | Thursday: Closed | Friday: 8 AM–2 PM | Saturday: 8 AM–2 PM | Sunday: Closed</t>
  </si>
  <si>
    <t>The Dentists, LLC</t>
  </si>
  <si>
    <t>http://thedentistsllc.com</t>
  </si>
  <si>
    <t>https://www.google.com/maps/place/data=!3m1!4b1!4m2!3m1!1s0x89c2f0c7f2a0be91:0x56cd9888bead5429</t>
  </si>
  <si>
    <t>870 Palisade Ave #301A</t>
  </si>
  <si>
    <t>Monday: 8:30 AM–5 PM | Tuesday: 8:30 AM–6 PM | Wednesday: Closed | Thursday: 8:30 AM–6 PM | Friday: 8:30 AM–1 PM | Saturday: 8 AM–12 PM | Sunday: Closed</t>
  </si>
  <si>
    <t>Portale Dental</t>
  </si>
  <si>
    <t>http://bigsmiles.com</t>
  </si>
  <si>
    <t>https://www.google.com/maps/place/data=!3m1!4b1!4m2!3m1!1s0x89c2f7a54417d6ed:0xb27706df0ed6981d</t>
  </si>
  <si>
    <t>555 Bergen Blvd ste a</t>
  </si>
  <si>
    <t>Monday: 7:30 AM–5:30 PM | Tuesday: 7:30 AM–5:30 PM | Wednesday: 7:30 AM–5:30 PM | Thursday: 8 AM–3 PM | Friday: Closed | Saturday: Closed | Sunday: Closed</t>
  </si>
  <si>
    <t>Englewood Dental</t>
  </si>
  <si>
    <t>https://www.englewooddental.com</t>
  </si>
  <si>
    <t>https://www.google.com/maps/place/data=!3m1!4b1!4m2!3m1!1s0x89c2f128ef742d2d:0x2e23dcbc58fd8ba1</t>
  </si>
  <si>
    <t>370 Grand Ave #200</t>
  </si>
  <si>
    <t>Monday: 9 AM–7 PM | Tuesday: 9 AM–5 PM | Wednesday: 9 AM–7 PM | Thursday: 9 AM–5 PM | Friday: 9 AM–5 PM | Saturday: 9 AM–1 PM | Sunday: Closed</t>
  </si>
  <si>
    <t>Lime Dental Clinic</t>
  </si>
  <si>
    <t>http://limedentalnj.com</t>
  </si>
  <si>
    <t>https://www.google.com/maps/place/data=!3m1!4b1!4m2!3m1!1s0x89c2f711b257fb8f:0xf627a10cef6fa4b3</t>
  </si>
  <si>
    <t>11 E Harwood Terrace</t>
  </si>
  <si>
    <t>Monday: 10 AM–6 PM | Tuesday: Closed | Wednesday: 9 AM–6 PM | Thursday: 10 AM–6 PM | Friday: Closed | Saturday: 9 AM–4 PM | Sunday: Closed</t>
  </si>
  <si>
    <t>Hesed Dental | Cosmetic dentistry NJ</t>
  </si>
  <si>
    <t>http://www.heseddental.com</t>
  </si>
  <si>
    <t>https://www.google.com/maps/place/data=!3m1!4b1!4m2!3m1!1s0x89c2f7b3d1a381ad:0x63eb86749715f4c4</t>
  </si>
  <si>
    <t>Dental clinic</t>
  </si>
  <si>
    <t>543 Gorge Rd</t>
  </si>
  <si>
    <t>Monday: 9:30 AM–7 PM | Tuesday: 9:30 AM–7 PM | Wednesday: 9:30 AM–7 PM | Thursday: 9:30 AM–7 PM | Friday: 9:30 AM–7 PM | Saturday: Closed | Sunday: Closed</t>
  </si>
  <si>
    <t>A Beautiful Smile Dentistry</t>
  </si>
  <si>
    <t>https://www.abeautifulsmiledentistry.com</t>
  </si>
  <si>
    <t>https://www.google.com/maps/place/data=!3m1!4b1!4m2!3m1!1s0x89c2f6fcd90dc8fd:0xd2222589edd88ba</t>
  </si>
  <si>
    <t>1315 Anderson Ave Suite A</t>
  </si>
  <si>
    <t>Monday: 8 AM–6 PM | Tuesday: 8 AM–6 PM | Wednesday: Closed | Thursday: 8 AM–6 PM | Friday: 8 AM–3 AM | Saturday: Closed | Sunday: Closed</t>
  </si>
  <si>
    <t>Summit Dental Pc</t>
  </si>
  <si>
    <t>https://www.summitdentalwork.com</t>
  </si>
  <si>
    <t>https://www.google.com/maps/place/data=!3m1!4b1!4m2!3m1!1s0x89c2fa275300dc63:0x4288d00d3eb4c498</t>
  </si>
  <si>
    <t>5 Summit Ave #104</t>
  </si>
  <si>
    <t>Monday: 9 AM–6 PM | Tuesday: 8 AM–5 PM | Wednesday: 9 AM–6 PM | Thursday: 8 AM–5 PM | Friday: 9 AM–5 PM | Saturday: Closed | Sunday: Closed</t>
  </si>
  <si>
    <t>Plaza Dentistry</t>
  </si>
  <si>
    <t>https://www.plazadentistry.com</t>
  </si>
  <si>
    <t>https://www.google.com/maps/place/data=!3m1!4b1!4m2!3m1!1s0x89c2f0eb58d0a2f7:0x3c28396d8548ac27</t>
  </si>
  <si>
    <t>1382 Queen Anne Rd</t>
  </si>
  <si>
    <t>Monday: 11 AM–7 PM | Tuesday: 9 AM–4 PM | Wednesday: 9 AM–6 PM | Thursday: 11 AM–7 PM | Friday: 8 AM–2 PM | Saturday: Closed | Sunday: Closed</t>
  </si>
  <si>
    <t>Anderson Dental Center</t>
  </si>
  <si>
    <t>https://www.andersondentalhackensack.com</t>
  </si>
  <si>
    <t>https://www.google.com/maps/place/data=!3m1!4b1!4m2!3m1!1s0x89c2fbf1a198543f:0xe3a4a7cdbf7487af</t>
  </si>
  <si>
    <t>15 Anderson St</t>
  </si>
  <si>
    <t>Monday: 9 AM–6 PM | Tuesday: 9 AM–6 PM | Wednesday: 9 AM–6 PM | Thursday: 9 AM–6 PM | Friday: 9 AM–6 PM | Saturday: 8 AM–3 PM | Sunday: Closed</t>
  </si>
  <si>
    <t>Beam Dental Edgewater</t>
  </si>
  <si>
    <t>https://www.mybeamdental.com/locations/edgewater</t>
  </si>
  <si>
    <t>https://www.google.com/maps/place/data=!3m1!4b1!4m2!3m1!1s0x89c2f64c1c0ffb4d:0x6793d5a323286373</t>
  </si>
  <si>
    <t>725 River Rd #104</t>
  </si>
  <si>
    <t>Edgewater</t>
  </si>
  <si>
    <t>Monday: 10 AM–7 PM | Tuesday: 10 AM–7 PM | Wednesday: 10 AM–7 PM | Thursday: Closed | Friday: 8 AM–5 PM | Saturday: 8 AM–3 PM | Sunday: Closed</t>
  </si>
  <si>
    <t>Peak Family Dentistry</t>
  </si>
  <si>
    <t>https://www.peakfamilydentistry.com</t>
  </si>
  <si>
    <t>https://www.google.com/maps/place/data=!3m1!4b1!4m2!3m1!1s0x89c2fa22de872c2d:0xfeb4125d8b26826f</t>
  </si>
  <si>
    <t>52 Summit Ave</t>
  </si>
  <si>
    <t>Monday: 9 AM–5 PM | Tuesday: 8 AM–2 PM | Wednesday: 9 AM–5 PM | Thursday: 9 AM–5 PM | Friday: 7 AM–3 PM | Saturday: Closed | Sunday: Closed</t>
  </si>
  <si>
    <t>Cliffside Family Dentistry</t>
  </si>
  <si>
    <t>http://www.cliffsidefamilydentistry.com</t>
  </si>
  <si>
    <t>https://www.google.com/maps/place/data=!3m1!4b1!4m2!3m1!1s0x89c2f7ade8ddb465:0x6fa3a8fd7049508e</t>
  </si>
  <si>
    <t>608 Anderson Ave</t>
  </si>
  <si>
    <t>Monday: 9 AM–6 PM | Tuesday: 9 AM–3 PM | Wednesday: 10 AM–7 PM | Thursday: 9 AM–5 PM | Friday: 9 AM–3 PM | Saturday: 9 AM–1 PM | Sunday: Closed</t>
  </si>
  <si>
    <t>Hackensack Dentist</t>
  </si>
  <si>
    <t>https://hackensackdentistsnj.com</t>
  </si>
  <si>
    <t>https://www.google.com/maps/place/data=!3m1!4b1!4m2!3m1!1s0x89c2fa27638cb985:0xca96cc4f0a5f618b</t>
  </si>
  <si>
    <t>433 Essex St</t>
  </si>
  <si>
    <t>Monday: 8:30 AM–7 PM | Tuesday: 8:30 AM–3 PM | Wednesday: 8:30 AM–7 PM | Thursday: 8:30 AM–4 PM | Friday: 8:30 AM–3 PM | Saturday: Closed | Sunday: Closed</t>
  </si>
  <si>
    <t>타임덴탈(Dr. David H.C Kim)</t>
  </si>
  <si>
    <t>http://www.timedentalgroup.com</t>
  </si>
  <si>
    <t>https://www.google.com/maps/place/data=!3m1!4b1!4m2!3m1!1s0x89c2f710f8c36c25:0xfdeeab837e4d48d</t>
  </si>
  <si>
    <t>306 Broad Ave # 2C</t>
  </si>
  <si>
    <t>Monday: Closed | Tuesday: 9 AM–5 PM | Wednesday: 9 AM–5 PM | Thursday: 9 AM–8 PM | Friday: 9 AM–5 PM | Saturday: 9 AM–5 PM | Sunday: Closed</t>
  </si>
  <si>
    <t>Fort Lee Dental | Dentistry, Dentist Fort Lee 뉴저지 치과 | 포트리 치과</t>
  </si>
  <si>
    <t>http://www.andrewbaedds.com</t>
  </si>
  <si>
    <t>https://www.google.com/maps/place/data=!3m1!4b1!4m2!3m1!1s0x89c2f6dd95f2d26b:0xdb3c07a822b8f3d6</t>
  </si>
  <si>
    <t>1055 Palisade Ave</t>
  </si>
  <si>
    <t>Monday: 9 AM–5 PM | Tuesday: 9 AM–5 PM | Wednesday: 9 AM–1 PM | Thursday: Closed | Friday: 9 AM–5 PM | Saturday: 9 AM–5 PM | Sunday: Closed</t>
  </si>
  <si>
    <t>Good Morning Dental</t>
  </si>
  <si>
    <t>http://goodmorningdentalnj.com</t>
  </si>
  <si>
    <t>https://www.google.com/maps/place/data=!3m1!4b1!4m2!3m1!1s0x89c2fa2196733dbb:0x1986f16206853f53</t>
  </si>
  <si>
    <t>218 Main St Fl 4</t>
  </si>
  <si>
    <t>Monday: 9 AM–7 PM | Tuesday: 9 AM–7 PM | Wednesday: 9 AM–7 PM | Thursday: 9 AM–7 PM | Friday: Closed | Saturday: 8 AM–1 PM | Sunday: Closed</t>
  </si>
  <si>
    <t>Bergen Arts Dental</t>
  </si>
  <si>
    <t>http://www.bergenartsdental.com</t>
  </si>
  <si>
    <t>https://www.google.com/maps/place/data=!3m1!4b1!4m2!3m1!1s0x89c2f7a568f931ff:0x432302ed3bc97264</t>
  </si>
  <si>
    <t>Orthodontist</t>
  </si>
  <si>
    <t>579 Bergen Blvd</t>
  </si>
  <si>
    <t>Monday: 8 AM–6 PM | Tuesday: 12–8 PM | Wednesday: 8 AM–3 PM | Thursday: 8 AM–6 PM | Friday: Closed | Saturday: 8 AM–1 PM | Sunday: Closed</t>
  </si>
  <si>
    <t>Smiles by Pinto</t>
  </si>
  <si>
    <t>https://www.pintodentalcare.com</t>
  </si>
  <si>
    <t>https://www.google.com/maps/place/data=!3m1!4b1!4m2!3m1!1s0x89c2f951767ee89d:0x70b47121a0c58cdc</t>
  </si>
  <si>
    <t>120 State St #3</t>
  </si>
  <si>
    <t>Monday: Closed | Tuesday: 9 AM–6 PM | Wednesday: 9 AM–6 PM | Thursday: 10 AM–3 PM | Friday: 10 AM–5 PM | Saturday: 9 AM–2 PM | Sunday: Closed</t>
  </si>
  <si>
    <t>ACE CHIROPRACTIC PC - DR. YONGKI COLIN RYU</t>
  </si>
  <si>
    <t>http://www.acechiropc.com</t>
  </si>
  <si>
    <t>https://www.google.com/maps/place/data=!3m1!4b1!4m2!3m1!1s0x89c2f7d1ce1cba91:0x1de47edb1886632c</t>
  </si>
  <si>
    <t>633 Prospect Ave</t>
  </si>
  <si>
    <t>Monday: 8:30 AM–12 PM | Tuesday: Closed | Wednesday: 8:30 AM–12 PM | Thursday: Closed | Friday: 8:30 AM–12 PM | Saturday: 8:30–11:30 AM | Sunday: Closed</t>
  </si>
  <si>
    <t>Genesis Family Chiropractic</t>
  </si>
  <si>
    <t>https://www.gfc-health.com</t>
  </si>
  <si>
    <t>https://www.google.com/maps/place/data=!3m1!4b1!4m2!3m1!1s0x89c2f7b21087642f:0xb316ddc5b8a02710</t>
  </si>
  <si>
    <t>596 Anderson Ave Suite 104</t>
  </si>
  <si>
    <t>Monday: 10 AM–5 PM | Tuesday: 11 AM–7 PM | Wednesday: 10 AM–5 PM | Thursday: 11 AM–7 PM | Friday: 10 AM–5 PM | Saturday: 10 AM–1 PM | Sunday: Closed</t>
  </si>
  <si>
    <t>Abbey Chiropractic</t>
  </si>
  <si>
    <t>http://drdangolden.com</t>
  </si>
  <si>
    <t>https://www.google.com/maps/place/data=!3m1!4b1!4m2!3m1!1s0x89c2f75a7748130d:0x257a9804f67e4e22</t>
  </si>
  <si>
    <t>127 Queen Anne Rd</t>
  </si>
  <si>
    <t>Advanced Health Center, PC</t>
  </si>
  <si>
    <t>https://www.google.com/maps/place/data=!3m1!4b1!4m2!3m1!1s0x89c2fa04dda54ce7:0xb88a3495db859db1</t>
  </si>
  <si>
    <t>335 Main St A</t>
  </si>
  <si>
    <t>Monday: 9 AM–1 PM, 2–6 PM | Tuesday: 9 AM–1 PM, 2–6 PM | Wednesday: 9 AM–1 PM, 2–6 PM | Thursday: 9 AM–1 PM, 2–6 PM | Friday: Closed | Saturday: Closed | Sunday: Closed</t>
  </si>
  <si>
    <t>Bergen Chiropractic &amp; Sports Rehabilitation Center</t>
  </si>
  <si>
    <t>https://www.bergenchiropractic.com</t>
  </si>
  <si>
    <t>https://www.google.com/maps/place/data=!3m1!4b1!4m2!3m1!1s0x89c2f7b177ca96c1:0xc4086c8441343e55</t>
  </si>
  <si>
    <t>532 Anderson Ave</t>
  </si>
  <si>
    <t>Monday: 8 AM–7 PM | Tuesday: Closed | Wednesday: 8 AM–7 PM | Thursday: 8 AM–1:45 PM | Friday: 8 AM–7 PM | Saturday: Closed | Sunday: Closed</t>
  </si>
  <si>
    <t>Spine &amp; Balance Center of NJ, LLC</t>
  </si>
  <si>
    <t>https://drkarlnixdorf.com</t>
  </si>
  <si>
    <t>https://www.google.com/maps/place/data=!3m1!4b1!4m2!3m1!1s0x89c2f0b0c972eb89:0x47520a24a5062fa1</t>
  </si>
  <si>
    <t>179 Cedar Ln Suite B</t>
  </si>
  <si>
    <t>Monday: 9 AM–6 PM | Tuesday: Closed | Wednesday: 9 AM–6 PM | Thursday: Closed | Friday: 9 AM–6 PM | Saturday: 10 AM–1 PM | Sunday: Closed</t>
  </si>
  <si>
    <t>Jeffrey Schlesinger, D.C., C.F.T., C.C.I.C.</t>
  </si>
  <si>
    <t>http://www.doctorfitness.biz</t>
  </si>
  <si>
    <t>https://www.google.com/maps/place/data=!3m1!4b1!4m2!3m1!1s0x89c2fa275300dc63:0x79a88099602e005</t>
  </si>
  <si>
    <t>5 Summit Ave #101</t>
  </si>
  <si>
    <t>Monday: 8:15 AM–4:45 PM | Tuesday: 8:15 AM–4:45 PM | Wednesday: 8:15 AM–4:45 PM | Thursday: 8:15 AM–4:45 PM | Friday: 8:15 AM–4:45 PM | Saturday: Closed | Sunday: Closed</t>
  </si>
  <si>
    <t>Daniel E. Golden, DC</t>
  </si>
  <si>
    <t>http://www.drdangolden.com</t>
  </si>
  <si>
    <t>https://www.google.com/maps/place/data=!3m1!4b1!4m2!3m1!1s0x89c2f75a7748130d:0x6878694cb6cd0533</t>
  </si>
  <si>
    <t>Advanced Chiropractic &amp; Scoliosis Center - Dr. Paul Kang, BS., D.C., CCEP</t>
  </si>
  <si>
    <t>http://www.drpaulkang.com</t>
  </si>
  <si>
    <t>https://www.google.com/maps/place/data=!3m1!4b1!4m2!3m1!1s0x89c2f6e6fdd4722b:0x46a477174bdc703</t>
  </si>
  <si>
    <t>1577 Center Ave</t>
  </si>
  <si>
    <t>Monday: 10 AM–7 PM | Tuesday: Closed | Wednesday: 10 AM–7 PM | Thursday: Closed | Friday: 10 AM–7 PM | Saturday: 10 AM–2 PM | Sunday: Closed</t>
  </si>
  <si>
    <t>Bergen Spine and Wellness</t>
  </si>
  <si>
    <t>https://www.bergenspine.com</t>
  </si>
  <si>
    <t>https://www.google.com/maps/place/data=!3m1!4b1!4m2!3m1!1s0x89c2fa47ee455ea3:0x712ac09c678c2c53</t>
  </si>
  <si>
    <t>106 W Pleasant Ave</t>
  </si>
  <si>
    <t>Maywood</t>
  </si>
  <si>
    <t>Monday: 9 AM–12 PM, 3–6 PM | Tuesday: Closed | Wednesday: 9 AM–12 PM, 3–6 PM | Thursday: Closed | Friday: 9 AM–12 PM, 3–6 PM | Saturday: 9–11 AM | Sunday: Closed</t>
  </si>
  <si>
    <t>CK REHAB &amp; PAIN CLINIC | NOW PAIN CLINIC | 뉴저지 통증치료, 뉴저지 교통사고 병원, 뉴저지 물리치료, 뉴저지 재활치료|</t>
  </si>
  <si>
    <t>http://www.ckpain.com</t>
  </si>
  <si>
    <t>https://www.google.com/maps/place/data=!3m1!4b1!4m2!3m1!1s0x89c2f70d26387b25:0x9d748bf115427251</t>
  </si>
  <si>
    <t>21 Grand Ave Building # 502</t>
  </si>
  <si>
    <t>Monday: 8:30 AM–9 PM | Tuesday: 10 AM–5 PM | Wednesday: 8:30 AM–9 PM | Thursday: 10 AM–5 PM | Friday: 9 AM–9 PM | Saturday: 9 AM–2 PM | Sunday: Closed</t>
  </si>
  <si>
    <t>Elite Spine Chiropractic of Fort Lee</t>
  </si>
  <si>
    <t>https://elitespine-nj.com</t>
  </si>
  <si>
    <t>https://www.google.com/maps/place/data=!3m1!4b1!4m2!3m1!1s0x89c2f746d48941b5:0x7c1555d98b952a8e</t>
  </si>
  <si>
    <t>1622 Parker Ave STE 2B</t>
  </si>
  <si>
    <t>Monday: 9 AM–7 PM | Tuesday: 9 AM–7 PM | Wednesday: 9 AM–7 PM | Thursday: 9 AM–7 PM | Friday: 9 AM–5 PM | Saturday: 9 AM–1 PM | Sunday: Closed</t>
  </si>
  <si>
    <t>Fitzgerald Michael J DC</t>
  </si>
  <si>
    <t>http://drmjfitzgerald.com</t>
  </si>
  <si>
    <t>https://www.google.com/maps/place/data=!3m1!4b1!4m2!3m1!1s0x89c2f754f0d711c5:0xe20c5767e20775a4</t>
  </si>
  <si>
    <t>61 E Main St B</t>
  </si>
  <si>
    <t>Monday: 8:30 AM–12 PM, 3:30–6:30 PM | Tuesday: Closed | Wednesday: 8:30 AM–12 PM, 3:30–6 PM | Thursday: 8:30 AM–12 PM, 3:30–6 PM | Friday: 8:30 AM–12 PM | Saturday: 8–10 AM | Sunday: Closed</t>
  </si>
  <si>
    <t>New Hope Chiropractic PC</t>
  </si>
  <si>
    <t>http://www.drsungkimchiro.com</t>
  </si>
  <si>
    <t>https://www.google.com/maps/place/data=!3m1!4b1!4m2!3m1!1s0x89c2f96c025ad7f5:0x219f88380b34c7ea</t>
  </si>
  <si>
    <t>85 Moonachie Rd</t>
  </si>
  <si>
    <t>Monday: 10 AM–6 PM | Tuesday: Closed | Wednesday: 10 AM–6 PM | Thursday: 10 AM–6 PM | Friday: Closed | Saturday: Closed | Sunday: Closed</t>
  </si>
  <si>
    <t>Wellness One of South Bergen</t>
  </si>
  <si>
    <t>https://www.wellness1ofsb.com</t>
  </si>
  <si>
    <t>https://www.google.com/maps/place/data=!3m1!4b1!4m2!3m1!1s0x89c2f8eb0d20dfe1:0xe185110db0fb8b97</t>
  </si>
  <si>
    <t>186 Paterson Ave #101</t>
  </si>
  <si>
    <t>Monday: 8:30 AM–1 PM, 3–7 PM | Tuesday: 3–7 PM | Wednesday: 8:30 AM–1 PM, 3–7 PM | Thursday: 3–7 PM | Friday: 8:30 AM–1 PM, 3–7 PM | Saturday: Closed | Sunday: Closed</t>
  </si>
  <si>
    <t>Better U Family Chiropractic Headquarters</t>
  </si>
  <si>
    <t>http://www.betterufamily.com</t>
  </si>
  <si>
    <t>https://www.google.com/maps/place/data=!3m1!4b1!4m2!3m1!1s0x89c2f9eb5a9a2f25:0x680f55e9b99e549a</t>
  </si>
  <si>
    <t>Shares parking lot with Crocco's Auto Body, 171 S River St</t>
  </si>
  <si>
    <t>Energy Chiropractic &amp; Pilates</t>
  </si>
  <si>
    <t>http://energychiropracticpilates.com</t>
  </si>
  <si>
    <t>https://www.google.com/maps/place/data=!3m1!4b1!4m2!3m1!1s0x89c2f0b2101b6389:0x3bfd596d1ffd9a5</t>
  </si>
  <si>
    <t>764 Palisade Avenue (Access Through Manor Court and, Railroad Pl</t>
  </si>
  <si>
    <t>Monday: 9 AM–1 PM, 3–6 PM | Tuesday: 9 AM–1 PM | Wednesday: 9 AM–1 PM, 3–6 PM | Thursday: 9 AM–1 PM | Friday: 9 AM–1 PM | Saturday: 9 AM–12 PM | Sunday: Closed</t>
  </si>
  <si>
    <t>Pico Family Chiropractic Center NJ</t>
  </si>
  <si>
    <t>https://www.drpico.com</t>
  </si>
  <si>
    <t>https://www.google.com/maps/place/data=!3m1!4b1!4m2!3m1!1s0x89c2f7408025ead3:0x24a90fc14147786f</t>
  </si>
  <si>
    <t>240 Grand Ave #3A</t>
  </si>
  <si>
    <t>Monday: 3:30–6:30 PM | Tuesday: Closed | Wednesday: Closed | Thursday: Closed | Friday: Closed | Saturday: Closed | Sunday: Closed</t>
  </si>
  <si>
    <t>George J. Lubertazzo Family Chiropractic</t>
  </si>
  <si>
    <t>https://www.rutherfordfamilychiropractor.com</t>
  </si>
  <si>
    <t>https://www.google.com/maps/place/data=!3m1!4b1!4m2!3m1!1s0x89c2f8962d6d22fd:0x2962ee79edaac511</t>
  </si>
  <si>
    <t>39 Meadow Rd</t>
  </si>
  <si>
    <t>Rutherford</t>
  </si>
  <si>
    <t>Monday: 9 AM–1 PM, 3–8 PM | Tuesday: Closed | Wednesday: 9 AM–1 PM, 3–8 PM | Thursday: Closed | Friday: 9 AM–1 PM, 3–8 PM | Saturday: 9 AM–12 PM | Sunday: Closed</t>
  </si>
  <si>
    <t>Advanced Chiropractic &amp; Scoliosis Center</t>
  </si>
  <si>
    <t>https://www.google.com/maps/place/data=!3m1!4b1!4m2!3m1!1s0x89c2f6e6fdd4722b:0x5bad0e0879cbdcc4</t>
  </si>
  <si>
    <t>Monday: 10 AM–8 PM | Tuesday: Closed | Wednesday: 10 AM–8 PM | Thursday: Closed | Friday: 10 AM–8 PM | Saturday: 10 AM–2 PM | Sunday: Closed</t>
  </si>
  <si>
    <t>Hudson One Realty</t>
  </si>
  <si>
    <t>http://hudsononerealty.com</t>
  </si>
  <si>
    <t>https://www.google.com/maps/place/data=!3m1!4b1!4m2!3m1!1s0x89c2f70b3b3432e3:0x195828b7ca3b8a83</t>
  </si>
  <si>
    <t>Monday: 9 AM–5:30 PM | Tuesday: 9 AM–5:30 PM | Wednesday: 9 AM–5:30 PM | Thursday: 9 AM–5:30 PM | Friday: 9 AM–5:30 PM | Saturday: Closed | Sunday: Closed</t>
  </si>
  <si>
    <t>C Land Realty (Palisades Park)</t>
  </si>
  <si>
    <t>https://clandrealtynj.com</t>
  </si>
  <si>
    <t>https://www.google.com/maps/place/data=!3m1!4b1!4m2!3m1!1s0x89c2f711daae4e75:0xbe571a3a9233ce4a</t>
  </si>
  <si>
    <t>242 Broad Ave</t>
  </si>
  <si>
    <t>Ridgeco Properties</t>
  </si>
  <si>
    <t>https://ridgecoproperties.com</t>
  </si>
  <si>
    <t>https://www.google.com/maps/place/data=!3m1!4b1!4m2!3m1!1s0x89c2f1458b1dd5f9:0x3e758d84c5fda279</t>
  </si>
  <si>
    <t>613 Bergen Blvd</t>
  </si>
  <si>
    <t>Elevate Realty</t>
  </si>
  <si>
    <t>http://elevaterealtynj.com</t>
  </si>
  <si>
    <t>https://www.google.com/maps/place/data=!3m1!4b1!4m2!3m1!1s0x89c2f728995e52df:0x98294673a223509b</t>
  </si>
  <si>
    <t>605 Anderson Ave # 3</t>
  </si>
  <si>
    <t>Kingstone Realty</t>
  </si>
  <si>
    <t>https://www.kingstonerealty.net</t>
  </si>
  <si>
    <t>https://www.google.com/maps/place/data=!3m1!4b1!4m2!3m1!1s0x89c2f79eb8945fe1:0x2ebf16e5696a0d26</t>
  </si>
  <si>
    <t>Monday: 10:30 AM–5 PM | Tuesday: 10:30 AM–5 PM | Wednesday: 10:30 AM–5 PM | Thursday: 10:30 AM–5 PM | Friday: 10:30 AM–5 PM | Saturday: Closed | Sunday: Closed</t>
  </si>
  <si>
    <t>Rhone Real Estate</t>
  </si>
  <si>
    <t>http://rhonere.com</t>
  </si>
  <si>
    <t>https://www.google.com/maps/place/data=!3m1!4b1!4m2!3m1!1s0x89c257a20b6aa4af:0xbdc664ef1a5aef2e</t>
  </si>
  <si>
    <t>311 Gorge Rd</t>
  </si>
  <si>
    <t>Monday: 10 AM–6 PM | Tuesday: 10 AM–6 PM | Wednesday: 10 AM–6 PM | Thursday: 10 AM–6 PM | Friday: 10 AM–6 PM | Saturday: 10 AM–4 PM | Sunday: Closed</t>
  </si>
  <si>
    <t>Synergy Realty Group</t>
  </si>
  <si>
    <t>http://www.synergyrealtorsgroup.com</t>
  </si>
  <si>
    <t>https://www.google.com/maps/place/data=!3m1!4b1!4m2!3m1!1s0x89c2f7df67d48e8f:0x22cca73713bc2d13</t>
  </si>
  <si>
    <t>753 Bergen Blvd Suite 1L</t>
  </si>
  <si>
    <t>Monday: 10 AM–5 PM | Tuesday: Closed | Wednesday: 10 AM–5 PM | Thursday: Closed | Friday: 10 AM–5 PM | Saturday: Closed | Sunday: Closed</t>
  </si>
  <si>
    <t>Cosmo Realty</t>
  </si>
  <si>
    <t>http://www.cosmorealty.com</t>
  </si>
  <si>
    <t>https://www.google.com/maps/place/data=!3m1!4b1!4m2!3m1!1s0x89c2f711b2fbe607:0x781a31cfad7d0a53</t>
  </si>
  <si>
    <t>Real estate consultant</t>
  </si>
  <si>
    <t>258 Broad Ave</t>
  </si>
  <si>
    <t>Young Star Realty</t>
  </si>
  <si>
    <t>https://www.youngstarrealty.com</t>
  </si>
  <si>
    <t>https://www.google.com/maps/place/data=!3m1!4b1!4m2!3m1!1s0x89c2f70ce94560e1:0xbb3819a9e7fec4a</t>
  </si>
  <si>
    <t>21 Grand Ave Suite 602</t>
  </si>
  <si>
    <t>Richard Choi Realtor 뉴저지 부동산</t>
  </si>
  <si>
    <t>https://www.njjip.com</t>
  </si>
  <si>
    <t>https://www.google.com/maps/place/data=!3m1!4b1!4m2!3m1!1s0x89c2f71607434995:0x75b1e8534c2a33af</t>
  </si>
  <si>
    <t>Gates Realty Corp.</t>
  </si>
  <si>
    <t>http://www.gatesrealty.com</t>
  </si>
  <si>
    <t>https://www.google.com/maps/place/data=!3m1!4b1!4m2!3m1!1s0x89c2f9d50ff0b981:0x6398eeadf1bc2f4d</t>
  </si>
  <si>
    <t>Real estate developer</t>
  </si>
  <si>
    <t>208 Gates Rd #2</t>
  </si>
  <si>
    <t>Monday: 8 AM–5:30 PM | Tuesday: 8 AM–5:30 PM | Wednesday: 8 AM–5:30 PM | Thursday: 8 AM–5:30 PM | Friday: 8 AM–5:30 PM | Saturday: Closed | Sunday: Closed</t>
  </si>
  <si>
    <t>Provident Legacy Real Estate Services</t>
  </si>
  <si>
    <t>https://providentlegacyrealtors.com</t>
  </si>
  <si>
    <t>https://www.google.com/maps/place/data=!3m1!4b1!4m2!3m1!1s0x89c2f7102568f4dd:0xfc6cc20ac6229fd7</t>
  </si>
  <si>
    <t>607B Anderson Ave</t>
  </si>
  <si>
    <t>mem property management co inc</t>
  </si>
  <si>
    <t>http://www.memproperty.com</t>
  </si>
  <si>
    <t>https://www.google.com/maps/place/data=!3m1!4b1!4m2!3m1!1s0x89c2573279e8c8c5:0xca447b5d24ab7f1b</t>
  </si>
  <si>
    <t>65 Challenger Rd Suite #320</t>
  </si>
  <si>
    <t>Khan Law</t>
  </si>
  <si>
    <t>http://www.khanlawllp.com</t>
  </si>
  <si>
    <t>https://www.google.com/maps/place/data=!3m1!4b1!4m2!3m1!1s0x89c2f6d1c8e93df1:0x4ada2e0e02b8b217</t>
  </si>
  <si>
    <t>100 Challenger Rd 8th floor</t>
  </si>
  <si>
    <t>McCann &amp; McCann</t>
  </si>
  <si>
    <t>http://www.mccann-mccann.com</t>
  </si>
  <si>
    <t>https://www.google.com/maps/place/data=!3m1!4b1!4m2!3m1!1s0x89c2f75de479fd17:0xc6af0fbf9dfb149e</t>
  </si>
  <si>
    <t>238 Main St</t>
  </si>
  <si>
    <t>Monday: 8 AM–5 PM | Tuesday: 8 AM–5 PM | Wednesday: 8 AM–5 PM | Thursday: 8 AM–5 PM | Friday: 8 AM–1 PM | Saturday: Closed | Sunday: Closed</t>
  </si>
  <si>
    <t>Law Office of Elsy Segovia, P.C.</t>
  </si>
  <si>
    <t>http://www.lawofficeofelsysegovia.com</t>
  </si>
  <si>
    <t>https://www.google.com/maps/place/data=!3m1!4b1!4m2!3m1!1s0x89c253782dbf2383:0xb9a25081c91c4186</t>
  </si>
  <si>
    <t>Immigration attorney</t>
  </si>
  <si>
    <t>65 Challenger Rd #110</t>
  </si>
  <si>
    <t>Monday: 9 AM–5 PM | Tuesday: 9 AM–5 PM | Wednesday: 9 AM–5 PM | Thursday: 9 AM–5 PM | Friday: 9 AM–5 PM | Saturday: 9 AM–1 PM | Sunday: Closed</t>
  </si>
  <si>
    <t>The Choi Law Group</t>
  </si>
  <si>
    <t>http://choilawgroup.com</t>
  </si>
  <si>
    <t>https://www.google.com/maps/place/data=!3m1!4b1!4m2!3m1!1s0x89c2f8a1bd168eb1:0x26344907a6166b25</t>
  </si>
  <si>
    <t>100 Challenger Rd #302</t>
  </si>
  <si>
    <t>Seeger Weiss LLP</t>
  </si>
  <si>
    <t>https://www.seegerweiss.com</t>
  </si>
  <si>
    <t>https://www.google.com/maps/place/data=!3m1!4b1!4m2!3m1!1s0x89c25a16830d73ad:0x90efba84394876ee</t>
  </si>
  <si>
    <t>Trial attorney</t>
  </si>
  <si>
    <t>55 Challenger Rd 6th floor</t>
  </si>
  <si>
    <t>Avery &amp; Avery</t>
  </si>
  <si>
    <t>http://averylaw-nj.com</t>
  </si>
  <si>
    <t>https://www.google.com/maps/place/data=!3m1!4b1!4m2!3m1!1s0x89c2f7a54039519b:0x343b0c5497317b3</t>
  </si>
  <si>
    <t>559 Bergen Blvd</t>
  </si>
  <si>
    <t>Monday: 9 AM–4 PM | Tuesday: 9 AM–4 PM | Wednesday: 9 AM–4 PM | Thursday: 9 AM–4 PM | Friday: 9 AM–4 PM | Saturday: Closed | Sunday: Closed</t>
  </si>
  <si>
    <t>고영민 | 뉴저지 이민 변호사 | KO &amp; Associates LLC</t>
  </si>
  <si>
    <t>https://www.lawyer-ko.com</t>
  </si>
  <si>
    <t>https://www.google.com/maps/place/data=!3m1!4b1!4m2!3m1!1s0x89c2f71d16297019:0x7338d776dec65db5</t>
  </si>
  <si>
    <t>705 Grand Ave #206</t>
  </si>
  <si>
    <t>Men’s &amp; Fathers’ Rights Divorce Lawyers by Schultz &amp; Associates, LLC</t>
  </si>
  <si>
    <t>https://mensrightsdivorcelaw.com</t>
  </si>
  <si>
    <t>https://www.google.com/maps/place/data=!3m1!4b1!4m2!3m1!1s0x89c2f9f6ba64e9b9:0xf48ddfd4a49dab4f</t>
  </si>
  <si>
    <t>Divorce lawyer</t>
  </si>
  <si>
    <t>55 Hudson St</t>
  </si>
  <si>
    <t>John H. Choi &amp; Associates LLC</t>
  </si>
  <si>
    <t>http://jchoilaw.com</t>
  </si>
  <si>
    <t>https://www.google.com/maps/place/data=!3m1!4b1!4m2!3m1!1s0x89c2f76ea977c5f3:0xdb196b995c66b4f9</t>
  </si>
  <si>
    <t>Patent attorney</t>
  </si>
  <si>
    <t>65 Challenger Rd #100</t>
  </si>
  <si>
    <t>Law Offices of Robert S. Dowd, Jr.</t>
  </si>
  <si>
    <t>http://www.rsdowdlaw.com</t>
  </si>
  <si>
    <t>https://www.google.com/maps/place/data=!3m1!4b1!4m2!3m1!1s0x89c2fa0be0805fbb:0x34de0ad830e19af2</t>
  </si>
  <si>
    <t>100 Challenger Rd #100</t>
  </si>
  <si>
    <t>Moskowitz Law Group, LLC</t>
  </si>
  <si>
    <t>https://www.divorcelawyers1.com</t>
  </si>
  <si>
    <t>https://www.google.com/maps/place/data=!3m1!4b1!4m2!3m1!1s0x89c2f9f9d55db80b:0x37ada0da26a2ffa6</t>
  </si>
  <si>
    <t>25 Main St #603</t>
  </si>
  <si>
    <t>Sutnick &amp; Sutnick Attorneys at Law</t>
  </si>
  <si>
    <t>https://www.sutnicklaw.com/?npcmp=dir:local:4137754:07601</t>
  </si>
  <si>
    <t>https://www.google.com/maps/place/data=!3m1!4b1!4m2!3m1!1s0x89c2f9f7b0a725df:0xa915f6d622154ff6</t>
  </si>
  <si>
    <t>Criminal justice attorney</t>
  </si>
  <si>
    <t>21 Main St Suite 150</t>
  </si>
  <si>
    <t>Lynch Law Firm, PC</t>
  </si>
  <si>
    <t>https://www.lynchlawyers.com</t>
  </si>
  <si>
    <t>https://www.google.com/maps/place/data=!3m1!4b1!4m2!3m1!1s0x89c2fafe398b01db:0xe1c9cac699272395</t>
  </si>
  <si>
    <t>Personal injury attorney</t>
  </si>
  <si>
    <t>440 NJ-17 3rd Floor</t>
  </si>
  <si>
    <t>DiLorenzo &amp; Rush</t>
  </si>
  <si>
    <t>https://www.dilorenzo-rush.com/?npcmp=dir:local:1208194:07601</t>
  </si>
  <si>
    <t>https://www.google.com/maps/place/data=!3m1!4b1!4m2!3m1!1s0x89c2fa0c9af1b45b:0x4f5ec2f7b20a2133</t>
  </si>
  <si>
    <t>60 Court St #3</t>
  </si>
  <si>
    <t>Law Offices of Ron Bar-Nadav</t>
  </si>
  <si>
    <t>http://www.njcriminaldefense.com</t>
  </si>
  <si>
    <t>https://www.google.com/maps/place/data=!3m1!4b1!4m2!3m1!1s0x89c2f9f7b9b33d47:0xd87505b71e4126c7</t>
  </si>
  <si>
    <t>58-60 Main St 3rd Floor</t>
  </si>
  <si>
    <t>Breslin and Breslin, PA.</t>
  </si>
  <si>
    <t>https://www.breslinlawyers.com</t>
  </si>
  <si>
    <t>https://www.google.com/maps/place/data=!3m1!4b1!4m2!3m1!1s0x89c2f9f70476de17:0x6631c9ac5a1b5e</t>
  </si>
  <si>
    <t>41 Main St #7087</t>
  </si>
  <si>
    <t>Cowen &amp; Jacobs</t>
  </si>
  <si>
    <t>https://cjr-law.com</t>
  </si>
  <si>
    <t>https://www.google.com/maps/place/data=!3m1!4b1!4m2!3m1!1s0x89c2f9f6bdf34b55:0x5c91e232cce8b789</t>
  </si>
  <si>
    <t>Family law attorney</t>
  </si>
  <si>
    <t>21 Main Street Court, Plaza South Suite #153</t>
  </si>
  <si>
    <t>Davis, Saperstein &amp; Salomon, P.C.</t>
  </si>
  <si>
    <t>https://www.dsslaw.com/teaneck</t>
  </si>
  <si>
    <t>https://www.google.com/maps/place/data=!3m1!4b1!4m2!3m1!1s0x89c2f0aff77e0bd3:0x2b5b6820fb5cfd15</t>
  </si>
  <si>
    <t>375 Cedar Ln</t>
  </si>
  <si>
    <t>Samuel J. Samaro</t>
  </si>
  <si>
    <t>http://pashmanstein.com</t>
  </si>
  <si>
    <t>https://www.google.com/maps/place/data=!3m1!4b1!4m2!3m1!1s0x89c2f9f6c1c38fc7:0x5c9c2c9471ddd67c</t>
  </si>
  <si>
    <t>21 Main St</t>
  </si>
  <si>
    <t>Priscilla M Boggia</t>
  </si>
  <si>
    <t>http://boggialaw.com/pmb.html</t>
  </si>
  <si>
    <t>https://www.google.com/maps/place/data=!3m1!4b1!4m2!3m1!1s0x89c2f761c4fcd1d5:0x5dc02fd5e6673c28</t>
  </si>
  <si>
    <t>Park &amp; Caporrino, LLP 박선정 합동 법률 사무소</t>
  </si>
  <si>
    <t>https://www.parkcaporrino.com</t>
  </si>
  <si>
    <t>https://www.google.com/maps/place/data=!3m1!4b1!4m2!3m1!1s0x89c2f6deeef7477d:0x9d374d7e1f13c06</t>
  </si>
  <si>
    <t>130 Fort Lee Rd</t>
  </si>
  <si>
    <t>Peter Tucci Law Office</t>
  </si>
  <si>
    <t>http://tuccilaw.net</t>
  </si>
  <si>
    <t>https://www.google.com/maps/place/data=!3m1!4b1!4m2!3m1!1s0x89c2f9dde3807313:0xe3fa1ede373027ac</t>
  </si>
  <si>
    <t>560 Hudson St</t>
  </si>
  <si>
    <t>O'Cathain Law Group</t>
  </si>
  <si>
    <t>https://olgnj.com</t>
  </si>
  <si>
    <t>https://www.google.com/maps/place/data=!3m1!4b1!4m2!3m1!1s0x89c2f9d59dea9c4f:0x7359a94bb90f16c4</t>
  </si>
  <si>
    <t>21 Main St #250</t>
  </si>
  <si>
    <t>Reinartz Law Firm</t>
  </si>
  <si>
    <t>https://reinartzlaw.com/hackensack-personal-injury-lawyer</t>
  </si>
  <si>
    <t>https://www.google.com/maps/place/data=!3m1!4b1!4m2!3m1!1s0x89c2f9f6c1c38fc7:0xf816310afe24d453</t>
  </si>
  <si>
    <t>21 Main St Suite 205</t>
  </si>
  <si>
    <t>Law Offices of Jeffrey S. Hasson, P.C.- Teaneck</t>
  </si>
  <si>
    <t>https://www.hassonlawoffices.com/personal-injury/</t>
  </si>
  <si>
    <t>https://www.google.com/maps/place/data=!3m1!4b1!4m2!3m1!1s0x89c2f0b01ae2018b:0x34ed373161d35c98</t>
  </si>
  <si>
    <t>320 Cedar Ln</t>
  </si>
  <si>
    <t>CHOI LAW FIRM</t>
  </si>
  <si>
    <t>https://www.choifirm.com</t>
  </si>
  <si>
    <t>https://www.google.com/maps/place/data=!3m1!4b1!4m2!3m1!1s0x89c2f71d16297019:0x1e93a21c6c02a23</t>
  </si>
  <si>
    <t>1372 Palisade Ave 2nd floor</t>
  </si>
  <si>
    <t>Monday: 8:30 AM–5:30 PM | Tuesday: 8:30 AM–5:30 PM | Wednesday: 8:30 AM–5:30 PM | Thursday: 8:30 AM–5:30 PM | Friday: 8:30 AM–5:30 PM | Saturday: Closed | Sunday: Closed</t>
  </si>
  <si>
    <t>Jae Lee Law</t>
  </si>
  <si>
    <t>http://www.jaeleelaw.com</t>
  </si>
  <si>
    <t>https://www.google.com/maps/place/data=!3m1!4b1!4m2!3m1!1s0x89c2f6c2ccbb931d:0x14df7556ba3df52b</t>
  </si>
  <si>
    <t>2050 Center Ave #120</t>
  </si>
  <si>
    <t>LaBarbiera &amp; Martinez</t>
  </si>
  <si>
    <t>http://www.personalinjuryfirm.net</t>
  </si>
  <si>
    <t>https://www.google.com/maps/place/data=!3m1!4b1!4m2!3m1!1s0x89c2f7c39f5ed32d:0x74c0addd9bfc182b</t>
  </si>
  <si>
    <t>8501 John F. Kennedy Blvd</t>
  </si>
  <si>
    <t>All In One Advanced Auto Repair LLC</t>
  </si>
  <si>
    <t>http://www.advancedautorepair.net</t>
  </si>
  <si>
    <t>https://www.google.com/maps/place/data=!3m1!4b1!4m2!3m1!1s0x89c2f9d7a15a9b97:0xc25137caab4f4aef</t>
  </si>
  <si>
    <t>39 Bergen Turnpike</t>
  </si>
  <si>
    <t>Dr Ed's Auto Clinic</t>
  </si>
  <si>
    <t>https://www.dredsauto.com</t>
  </si>
  <si>
    <t>https://www.google.com/maps/place/data=!3m1!4b1!4m2!3m1!1s0x89c2f761a8d81a55:0x2a368343c0f69027</t>
  </si>
  <si>
    <t>17 Mt Vernon St</t>
  </si>
  <si>
    <t>West View Service Station</t>
  </si>
  <si>
    <t>http://westviewstation.com</t>
  </si>
  <si>
    <t>https://www.google.com/maps/place/data=!3m1!4b1!4m2!3m1!1s0x89c2f9e020b88161:0x777a9c5899c9709</t>
  </si>
  <si>
    <t>87 Railroad Ave</t>
  </si>
  <si>
    <t>Monday: 8 AM–5 PM | Tuesday: 8 AM–5 PM | Wednesday: 8 AM–5 PM | Thursday: 8 AM–5 PM | Friday: 8 AM–5 PM | Saturday: 8 AM–5 PM | Sunday: 8 AM–5 PM</t>
  </si>
  <si>
    <t>Noah Auto Repair Shop</t>
  </si>
  <si>
    <t>http://noahautorepairshop.com</t>
  </si>
  <si>
    <t>https://www.google.com/maps/place/data=!3m1!4b1!4m2!3m1!1s0x89c2f0afc197fe37:0xd3eeb37de26c985d</t>
  </si>
  <si>
    <t>351 Queen Anne Rd</t>
  </si>
  <si>
    <t>Monday: 9 AM–6 PM | Tuesday: 9 AM–6 PM | Wednesday: 9 AM–6 PM | Thursday: 9 AM–6 PM | Friday: 9 AM–5 PM | Saturday: Closed | Sunday: 9 AM–2 PM</t>
  </si>
  <si>
    <t>J J Automotive II &amp; Auto Body</t>
  </si>
  <si>
    <t>http://www.jjmotorgroup.com</t>
  </si>
  <si>
    <t>https://www.google.com/maps/place/data=!3m1!4b1!4m2!3m1!1s0x89c2f79c8de9dc03:0xc62c0a131852853c</t>
  </si>
  <si>
    <t>1150 Hendricks Causeway</t>
  </si>
  <si>
    <t>Pro Auto Repair</t>
  </si>
  <si>
    <t>http://www.proautocenter55.com</t>
  </si>
  <si>
    <t>https://www.google.com/maps/place/data=!3m1!4b1!4m2!3m1!1s0x89c2fa0f847c8a9b:0xeeb4b49d1522ca61</t>
  </si>
  <si>
    <t>55 Midtown Bridge St</t>
  </si>
  <si>
    <t>Hackensack Auto Spring &amp; Wheel Alignment</t>
  </si>
  <si>
    <t>http://www.hackensackspring.com</t>
  </si>
  <si>
    <t>https://www.google.com/maps/place/data=!3m1!4b1!4m2!3m1!1s0x89c2f9e455901ff5:0x11602f7e266ef66e</t>
  </si>
  <si>
    <t>301 S River St</t>
  </si>
  <si>
    <t>PK Auto Care</t>
  </si>
  <si>
    <t>http://www.pkautocare.com</t>
  </si>
  <si>
    <t>https://www.google.com/maps/place/data=!3m1!4b1!4m2!3m1!1s0x89c2f7d89e53827d:0x639e12f4be851c97</t>
  </si>
  <si>
    <t>228 Teaneck Rd</t>
  </si>
  <si>
    <t>Bovan's Auto Services</t>
  </si>
  <si>
    <t>https://bovansautoservices.com</t>
  </si>
  <si>
    <t>https://www.google.com/maps/place/data=!3m1!4b1!4m2!3m1!1s0x89c2f7adf45118fb:0x1d14be7534056760</t>
  </si>
  <si>
    <t>619 Gorge 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</si>
</sst>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FFFF"/>
      <name val="Calibri"/>
    </font>
    <font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color theme="1"/>
      <name val="Arial"/>
      <scheme val="minor"/>
    </font>
    <font>
      <sz val="12.0"/>
      <color rgb="FF000000"/>
      <name val="Apple SD Gothic Neo"/>
    </font>
  </fonts>
  <fills count="3">
    <fill>
      <patternFill patternType="none"/>
    </fill>
    <fill>
      <patternFill patternType="lightGray"/>
    </fill>
    <fill>
      <patternFill patternType="solid">
        <fgColor rgb="FF0956EC"/>
        <bgColor rgb="FF0956EC"/>
      </patternFill>
    </fill>
  </fills>
  <borders count="6">
    <border/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2" fontId="1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5" fillId="0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data=!3m1!4b1!4m2!3m1!1s0x89c2f73b4e5f7151:0xb3da999da2801111" TargetMode="External"/><Relationship Id="rId84" Type="http://schemas.openxmlformats.org/officeDocument/2006/relationships/drawing" Target="../drawings/drawing1.xml"/><Relationship Id="rId83" Type="http://schemas.openxmlformats.org/officeDocument/2006/relationships/hyperlink" Target="https://www.google.com/maps/place/data=!3m1!4b1!4m2!3m1!1s0x89c2f9e217c476d1:0xec76b7e9be5ab27c" TargetMode="External"/><Relationship Id="rId42" Type="http://schemas.openxmlformats.org/officeDocument/2006/relationships/hyperlink" Target="https://www.google.com/maps/place/data=!3m1!4b1!4m2!3m1!1s0x89c2f70d70aeaaab:0xc96b6fefbe1fb51" TargetMode="External"/><Relationship Id="rId41" Type="http://schemas.openxmlformats.org/officeDocument/2006/relationships/hyperlink" Target="https://www.google.com/maps/place/data=!3m1!4b1!4m2!3m1!1s0x89c2f9d239c33aff:0xd3e971f535be981e" TargetMode="External"/><Relationship Id="rId44" Type="http://schemas.openxmlformats.org/officeDocument/2006/relationships/hyperlink" Target="https://www.google.com/maps/place/data=!3m1!4b1!4m2!3m1!1s0x89c2f7754d27a67f:0x95378964bb72117c" TargetMode="External"/><Relationship Id="rId43" Type="http://schemas.openxmlformats.org/officeDocument/2006/relationships/hyperlink" Target="https://www.google.com/maps/place/data=!3m1!4b1!4m2!3m1!1s0x89c2f70d7750bc6d:0x1022d237035d8bad" TargetMode="External"/><Relationship Id="rId46" Type="http://schemas.openxmlformats.org/officeDocument/2006/relationships/hyperlink" Target="https://www.google.com/maps/place/data=!3m1!4b1!4m2!3m1!1s0x89c2f73b4e5f7151:0xbb28e3c782657381" TargetMode="External"/><Relationship Id="rId45" Type="http://schemas.openxmlformats.org/officeDocument/2006/relationships/hyperlink" Target="https://www.google.com/maps/place/data=!3m1!4b1!4m2!3m1!1s0x89c2f751b9f2e0f7:0xda88102d8f5f3231" TargetMode="External"/><Relationship Id="rId80" Type="http://schemas.openxmlformats.org/officeDocument/2006/relationships/hyperlink" Target="https://www.google.com/maps/place/data=!3m1!4b1!4m2!3m1!1s0x89c257ded179b00b:0xb97f4b5291761756" TargetMode="External"/><Relationship Id="rId82" Type="http://schemas.openxmlformats.org/officeDocument/2006/relationships/hyperlink" Target="https://www.google.com/maps/place/data=!3m1!4b1!4m2!3m1!1s0x89c2f7b874efff45:0x56bd3b670c95ce4c" TargetMode="External"/><Relationship Id="rId81" Type="http://schemas.openxmlformats.org/officeDocument/2006/relationships/hyperlink" Target="https://www.google.com/maps/place/data=!3m1!4b1!4m2!3m1!1s0x89c2f9cd6eabc697:0x7540cb955cb36fac" TargetMode="External"/><Relationship Id="rId1" Type="http://schemas.openxmlformats.org/officeDocument/2006/relationships/hyperlink" Target="https://www.google.com/maps/place/data=!3m1!4b1!4m2!3m1!1s0x89c2f950b6720379:0x470dc4f05d1f7c7b" TargetMode="External"/><Relationship Id="rId2" Type="http://schemas.openxmlformats.org/officeDocument/2006/relationships/hyperlink" Target="https://www.google.com/maps/place/data=!3m1!4b1!4m2!3m1!1s0x89c2f90ef371b655:0xd1a40ad9fb69acd" TargetMode="External"/><Relationship Id="rId3" Type="http://schemas.openxmlformats.org/officeDocument/2006/relationships/hyperlink" Target="https://www.google.com/maps/place/data=!3m1!4b1!4m2!3m1!1s0x89c2f764889f383f:0xf3a72dbe3a610bb8" TargetMode="External"/><Relationship Id="rId4" Type="http://schemas.openxmlformats.org/officeDocument/2006/relationships/hyperlink" Target="https://www.google.com/maps/place/data=!3m1!4b1!4m2!3m1!1s0x89c2590133a498d9:0xa9d5e3101198184f" TargetMode="External"/><Relationship Id="rId9" Type="http://schemas.openxmlformats.org/officeDocument/2006/relationships/hyperlink" Target="https://www.google.com/maps/place/data=!3m1!4b1!4m2!3m1!1s0x89c2fa71b003ea11:0xc4a17ed516535881" TargetMode="External"/><Relationship Id="rId48" Type="http://schemas.openxmlformats.org/officeDocument/2006/relationships/hyperlink" Target="https://www.google.com/maps/place/data=!3m1!4b1!4m2!3m1!1s0x89c2f79f1ab3ee8f:0xcf517b0075e5b504" TargetMode="External"/><Relationship Id="rId47" Type="http://schemas.openxmlformats.org/officeDocument/2006/relationships/hyperlink" Target="https://www.google.com/maps/place/data=!3m1!4b1!4m2!3m1!1s0x89c2f70e21f09b5b:0x64d9cb3e24d6a536" TargetMode="External"/><Relationship Id="rId49" Type="http://schemas.openxmlformats.org/officeDocument/2006/relationships/hyperlink" Target="https://www.google.com/maps/place/data=!3m1!4b1!4m2!3m1!1s0x89c2f7b1fecb6a8b:0x240b602ae9443f0e" TargetMode="External"/><Relationship Id="rId5" Type="http://schemas.openxmlformats.org/officeDocument/2006/relationships/hyperlink" Target="https://www.google.com/maps/place/data=!3m1!4b1!4m2!3m1!1s0x89c2f74e4a7c7f51:0xeab5f1c0217d96ee" TargetMode="External"/><Relationship Id="rId6" Type="http://schemas.openxmlformats.org/officeDocument/2006/relationships/hyperlink" Target="https://www.google.com/maps/place/data=!3m1!4b1!4m2!3m1!1s0x89c2f764acda1069:0xbaf22a88e1a6c" TargetMode="External"/><Relationship Id="rId7" Type="http://schemas.openxmlformats.org/officeDocument/2006/relationships/hyperlink" Target="https://www.google.com/maps/place/data=!3m1!4b1!4m2!3m1!1s0x89c2f754ef37cacd:0xa5223965ce591903" TargetMode="External"/><Relationship Id="rId8" Type="http://schemas.openxmlformats.org/officeDocument/2006/relationships/hyperlink" Target="https://www.google.com/maps/place/data=!3m1!4b1!4m2!3m1!1s0x89c2f9d4e054febf:0xaf48476537bd29a0" TargetMode="External"/><Relationship Id="rId73" Type="http://schemas.openxmlformats.org/officeDocument/2006/relationships/hyperlink" Target="https://www.google.com/maps/place/data=!3m1!4b1!4m2!3m1!1s0x89c2f7dedc2368b7:0xc59ea898c1151df6" TargetMode="External"/><Relationship Id="rId72" Type="http://schemas.openxmlformats.org/officeDocument/2006/relationships/hyperlink" Target="https://www.google.com/maps/place/data=!3m1!4b1!4m2!3m1!1s0x89c2f9dc20b0c31f:0xe4699dc9629aae34" TargetMode="External"/><Relationship Id="rId31" Type="http://schemas.openxmlformats.org/officeDocument/2006/relationships/hyperlink" Target="https://www.google.com/maps/place/data=!3m1!4b1!4m2!3m1!1s0x89c25809086da8a9:0x3a38807fcb136d31" TargetMode="External"/><Relationship Id="rId75" Type="http://schemas.openxmlformats.org/officeDocument/2006/relationships/hyperlink" Target="https://www.google.com/maps/place/data=!3m1!4b1!4m2!3m1!1s0x89c2f79ea48fe281:0x67f5a7777e6afb2c" TargetMode="External"/><Relationship Id="rId30" Type="http://schemas.openxmlformats.org/officeDocument/2006/relationships/hyperlink" Target="https://www.google.com/maps/place/data=!3m1!4b1!4m2!3m1!1s0x89c2f9ed574f3b6f:0xf1bb2e0a316f8f68" TargetMode="External"/><Relationship Id="rId74" Type="http://schemas.openxmlformats.org/officeDocument/2006/relationships/hyperlink" Target="https://www.google.com/maps/place/data=!3m1!4b1!4m2!3m1!1s0x89c2f7dcdba0d6b7:0xcdcdb17e72134d9e" TargetMode="External"/><Relationship Id="rId33" Type="http://schemas.openxmlformats.org/officeDocument/2006/relationships/hyperlink" Target="https://www.google.com/maps/place/data=!3m1!4b1!4m2!3m1!1s0x89c2f903701a6cc1:0x90edb34a843e69f4" TargetMode="External"/><Relationship Id="rId77" Type="http://schemas.openxmlformats.org/officeDocument/2006/relationships/hyperlink" Target="https://www.google.com/maps/place/data=!3m1!4b1!4m2!3m1!1s0x89c2f7ff8bbececf:0xbfa1b8731aa56d37" TargetMode="External"/><Relationship Id="rId32" Type="http://schemas.openxmlformats.org/officeDocument/2006/relationships/hyperlink" Target="https://www.google.com/maps/place/data=!3m1!4b1!4m2!3m1!1s0x89c2f6e7912da29d:0xc28df0290800261a" TargetMode="External"/><Relationship Id="rId76" Type="http://schemas.openxmlformats.org/officeDocument/2006/relationships/hyperlink" Target="https://www.google.com/maps/place/data=!3m1!4b1!4m2!3m1!1s0x89c2f716827b21d9:0xcbdc1ca080d5518a" TargetMode="External"/><Relationship Id="rId35" Type="http://schemas.openxmlformats.org/officeDocument/2006/relationships/hyperlink" Target="https://www.google.com/maps/place/data=!3m1!4b1!4m2!3m1!1s0x89c2f7820bf96be3:0xef59e16c36173e23" TargetMode="External"/><Relationship Id="rId79" Type="http://schemas.openxmlformats.org/officeDocument/2006/relationships/hyperlink" Target="https://www.google.com/maps/place/data=!3m1!4b1!4m2!3m1!1s0x89c2f9e02cba8e99:0x7a15fd8fe2615ab5" TargetMode="External"/><Relationship Id="rId34" Type="http://schemas.openxmlformats.org/officeDocument/2006/relationships/hyperlink" Target="https://www.google.com/maps/place/data=!3m1!4b1!4m2!3m1!1s0x89c2f835c332263d:0xa09168330b187bac" TargetMode="External"/><Relationship Id="rId78" Type="http://schemas.openxmlformats.org/officeDocument/2006/relationships/hyperlink" Target="https://www.google.com/maps/place/data=!3m1!4b1!4m2!3m1!1s0x89c2f7a90479a7db:0x23527b6160d30913" TargetMode="External"/><Relationship Id="rId71" Type="http://schemas.openxmlformats.org/officeDocument/2006/relationships/hyperlink" Target="https://www.google.com/maps/place/data=!3m1!4b1!4m2!3m1!1s0x89c2f90db5833493:0x18fcd483d43c73d6" TargetMode="External"/><Relationship Id="rId70" Type="http://schemas.openxmlformats.org/officeDocument/2006/relationships/hyperlink" Target="https://www.google.com/maps/place/data=!3m1!4b1!4m2!3m1!1s0x89c2f64aacdbc77f:0x7c830e9f315e7e80" TargetMode="External"/><Relationship Id="rId37" Type="http://schemas.openxmlformats.org/officeDocument/2006/relationships/hyperlink" Target="https://www.google.com/maps/place/data=!3m1!4b1!4m2!3m1!1s0x89c2f761426c0001:0xe1c4b00d10514c92" TargetMode="External"/><Relationship Id="rId36" Type="http://schemas.openxmlformats.org/officeDocument/2006/relationships/hyperlink" Target="https://www.google.com/maps/place/data=!3m1!4b1!4m2!3m1!1s0x89c2f77caed52ee7:0x6ddca00c17de4c19" TargetMode="External"/><Relationship Id="rId39" Type="http://schemas.openxmlformats.org/officeDocument/2006/relationships/hyperlink" Target="https://www.google.com/maps/place/data=!3m1!4b1!4m2!3m1!1s0x89c2f710f8c36c25:0xaa90b06c94b9e4e7" TargetMode="External"/><Relationship Id="rId38" Type="http://schemas.openxmlformats.org/officeDocument/2006/relationships/hyperlink" Target="https://www.google.com/maps/place/data=!3m1!4b1!4m2!3m1!1s0x89c2f711b751b24d:0x6385d7de725bad46" TargetMode="External"/><Relationship Id="rId62" Type="http://schemas.openxmlformats.org/officeDocument/2006/relationships/hyperlink" Target="https://www.google.com/maps/place/data=!3m1!4b1!4m2!3m1!1s0x89c2f70b89612c43:0x6ba426a42597d001" TargetMode="External"/><Relationship Id="rId61" Type="http://schemas.openxmlformats.org/officeDocument/2006/relationships/hyperlink" Target="https://www.google.com/maps/place/data=!3m1!4b1!4m2!3m1!1s0x89c2f70b8966c50d:0xb7487c9ae7a1a1d2" TargetMode="External"/><Relationship Id="rId20" Type="http://schemas.openxmlformats.org/officeDocument/2006/relationships/hyperlink" Target="https://www.google.com/maps/place/data=!3m1!4b1!4m2!3m1!1s0x89c2f7092611eec3:0xea91aaf679555de" TargetMode="External"/><Relationship Id="rId64" Type="http://schemas.openxmlformats.org/officeDocument/2006/relationships/hyperlink" Target="https://www.google.com/maps/place/data=!3m1!4b1!4m2!3m1!1s0x89c2f7793743545b:0x86e2dfc1d1bf3be3" TargetMode="External"/><Relationship Id="rId63" Type="http://schemas.openxmlformats.org/officeDocument/2006/relationships/hyperlink" Target="https://www.google.com/maps/place/data=!3m1!4b1!4m2!3m1!1s0x89c2f70d1d83062f:0x3ea87f553f3d341d" TargetMode="External"/><Relationship Id="rId22" Type="http://schemas.openxmlformats.org/officeDocument/2006/relationships/hyperlink" Target="https://www.google.com/maps/place/data=!3m1!4b1!4m2!3m1!1s0x89c2f717ca36aaab:0x51b37466e162ed23" TargetMode="External"/><Relationship Id="rId66" Type="http://schemas.openxmlformats.org/officeDocument/2006/relationships/hyperlink" Target="https://www.google.com/maps/place/data=!3m1!4b1!4m2!3m1!1s0x89c2f79cd6ee5607:0x9be765444a9b43bf" TargetMode="External"/><Relationship Id="rId21" Type="http://schemas.openxmlformats.org/officeDocument/2006/relationships/hyperlink" Target="https://www.google.com/maps/place/data=!3m1!4b1!4m2!3m1!1s0x89c2f9e54922296d:0x41dda8f8b3c1c677" TargetMode="External"/><Relationship Id="rId65" Type="http://schemas.openxmlformats.org/officeDocument/2006/relationships/hyperlink" Target="https://www.google.com/maps/place/data=!3m1!4b1!4m2!3m1!1s0x89c2f9fa96d2c3d5:0xdbfd09466a90b59b" TargetMode="External"/><Relationship Id="rId24" Type="http://schemas.openxmlformats.org/officeDocument/2006/relationships/hyperlink" Target="https://www.google.com/maps/place/data=!3m1!4b1!4m2!3m1!1s0x89c2f70390b6ab9d:0x5b42f06aa5009c2f" TargetMode="External"/><Relationship Id="rId68" Type="http://schemas.openxmlformats.org/officeDocument/2006/relationships/hyperlink" Target="https://www.google.com/maps/place/data=!3m1!4b1!4m2!3m1!1s0x89c2f70b2157062b:0xf542e25a7a60845a" TargetMode="External"/><Relationship Id="rId23" Type="http://schemas.openxmlformats.org/officeDocument/2006/relationships/hyperlink" Target="https://www.google.com/maps/place/data=!3m1!4b1!4m2!3m1!1s0x89c2f726d1e385a5:0xb984d270b6911a6e" TargetMode="External"/><Relationship Id="rId67" Type="http://schemas.openxmlformats.org/officeDocument/2006/relationships/hyperlink" Target="https://www.google.com/maps/place/data=!3m1!4b1!4m2!3m1!1s0x89c2f9d9a07bac1d:0xbe030c86bfd7d8a1" TargetMode="External"/><Relationship Id="rId60" Type="http://schemas.openxmlformats.org/officeDocument/2006/relationships/hyperlink" Target="https://www.google.com/maps/place/data=!3m1!4b1!4m2!3m1!1s0x89c2f76135120ed7:0xe0f4c68b63024f55" TargetMode="External"/><Relationship Id="rId26" Type="http://schemas.openxmlformats.org/officeDocument/2006/relationships/hyperlink" Target="https://www.google.com/maps/place/data=!3m1!4b1!4m2!3m1!1s0x89c2f7ba0302a47b:0xd52e834110b23bd6" TargetMode="External"/><Relationship Id="rId25" Type="http://schemas.openxmlformats.org/officeDocument/2006/relationships/hyperlink" Target="https://www.google.com/maps/place/data=!3m1!4b1!4m2!3m1!1s0x89c2f7604866310d:0xf0b2891cc591edc7" TargetMode="External"/><Relationship Id="rId69" Type="http://schemas.openxmlformats.org/officeDocument/2006/relationships/hyperlink" Target="https://www.google.com/maps/place/data=!3m1!4b1!4m2!3m1!1s0x89c2f9e57fe883b7:0xa0e80976f2ee5d87" TargetMode="External"/><Relationship Id="rId28" Type="http://schemas.openxmlformats.org/officeDocument/2006/relationships/hyperlink" Target="https://www.google.com/maps/place/data=!3m1!4b1!4m2!3m1!1s0x89c2f7031abc96d7:0x4778acb98338db9d" TargetMode="External"/><Relationship Id="rId27" Type="http://schemas.openxmlformats.org/officeDocument/2006/relationships/hyperlink" Target="https://www.google.com/maps/place/data=!3m1!4b1!4m2!3m1!1s0x89c2f72f03a47b53:0xe5363a83354d81a3" TargetMode="External"/><Relationship Id="rId29" Type="http://schemas.openxmlformats.org/officeDocument/2006/relationships/hyperlink" Target="https://www.google.com/maps/place/data=!3m1!4b1!4m2!3m1!1s0x89c2f7a952882eff:0x9731bf4dd1afbfa5" TargetMode="External"/><Relationship Id="rId51" Type="http://schemas.openxmlformats.org/officeDocument/2006/relationships/hyperlink" Target="https://www.google.com/maps/place/data=!3m1!4b1!4m2!3m1!1s0x89c2f18aebb9e121:0xe8aac36b83a483c2" TargetMode="External"/><Relationship Id="rId50" Type="http://schemas.openxmlformats.org/officeDocument/2006/relationships/hyperlink" Target="https://www.google.com/maps/place/data=!3m1!4b1!4m2!3m1!1s0x89c2f703892dcd01:0xbba47c62fd533221" TargetMode="External"/><Relationship Id="rId53" Type="http://schemas.openxmlformats.org/officeDocument/2006/relationships/hyperlink" Target="https://www.google.com/maps/place/data=!3m1!4b1!4m2!3m1!1s0x89c2f7c9cf1a5dd3:0x8c30cb83e557acfc" TargetMode="External"/><Relationship Id="rId52" Type="http://schemas.openxmlformats.org/officeDocument/2006/relationships/hyperlink" Target="https://www.google.com/maps/place/data=!3m1!4b1!4m2!3m1!1s0x89c2f7b8aa6aec21:0x62b430d3aa485622" TargetMode="External"/><Relationship Id="rId11" Type="http://schemas.openxmlformats.org/officeDocument/2006/relationships/hyperlink" Target="https://www.google.com/maps/place/data=!3m1!4b1!4m2!3m1!1s0x89c2f7c6f87f434b:0xb4630424cca48cd1" TargetMode="External"/><Relationship Id="rId55" Type="http://schemas.openxmlformats.org/officeDocument/2006/relationships/hyperlink" Target="https://www.google.com/maps/place/data=!3m1!4b1!4m2!3m1!1s0x89c2f7a8cca5d95d:0xa5631073549cdf69" TargetMode="External"/><Relationship Id="rId10" Type="http://schemas.openxmlformats.org/officeDocument/2006/relationships/hyperlink" Target="https://www.google.com/maps/place/data=!3m1!4b1!4m2!3m1!1s0x89c2f9fce97c97a7:0xd2f55d95236fdbae" TargetMode="External"/><Relationship Id="rId54" Type="http://schemas.openxmlformats.org/officeDocument/2006/relationships/hyperlink" Target="https://www.google.com/maps/place/data=!3m1!4b1!4m2!3m1!1s0x89c2f7990e9cbfbd:0x8e3ba3c2bc36cb1a" TargetMode="External"/><Relationship Id="rId13" Type="http://schemas.openxmlformats.org/officeDocument/2006/relationships/hyperlink" Target="https://www.google.com/maps/place/data=!3m1!4b1!4m2!3m1!1s0x89c2f7a1b66b15c3:0xa78ca6d7d5670e7c" TargetMode="External"/><Relationship Id="rId57" Type="http://schemas.openxmlformats.org/officeDocument/2006/relationships/hyperlink" Target="https://www.google.com/maps/place/data=!3m1!4b1!4m2!3m1!1s0x89c2f7c1a0eb34c5:0xcb8ae4ee93516b48" TargetMode="External"/><Relationship Id="rId12" Type="http://schemas.openxmlformats.org/officeDocument/2006/relationships/hyperlink" Target="https://www.google.com/maps/place/data=!3m1!4b1!4m2!3m1!1s0x7e0c057153d6c3:0x2f3a2d7fdeb2e11" TargetMode="External"/><Relationship Id="rId56" Type="http://schemas.openxmlformats.org/officeDocument/2006/relationships/hyperlink" Target="https://www.google.com/maps/place/data=!3m1!4b1!4m2!3m1!1s0x89c2f7b5b4cccb45:0xf70bd34bea4202b1" TargetMode="External"/><Relationship Id="rId15" Type="http://schemas.openxmlformats.org/officeDocument/2006/relationships/hyperlink" Target="https://www.google.com/maps/place/data=!3m1!4b1!4m2!3m1!1s0x89c2f76036815555:0x39ae8687354bb79d" TargetMode="External"/><Relationship Id="rId59" Type="http://schemas.openxmlformats.org/officeDocument/2006/relationships/hyperlink" Target="https://www.google.com/maps/place/data=!3m1!4b1!4m2!3m1!1s0x89c2f70b8966c50d:0x4434397362f842f4" TargetMode="External"/><Relationship Id="rId14" Type="http://schemas.openxmlformats.org/officeDocument/2006/relationships/hyperlink" Target="https://www.google.com/maps/place/data=!3m1!4b1!4m2!3m1!1s0x89c2f90a0fe3957f:0x1f4f66c8ba6764a" TargetMode="External"/><Relationship Id="rId58" Type="http://schemas.openxmlformats.org/officeDocument/2006/relationships/hyperlink" Target="https://www.google.com/maps/place/data=!3m1!4b1!4m2!3m1!1s0x89c2f710ec111d61:0xdd744fbf48557ba2" TargetMode="External"/><Relationship Id="rId17" Type="http://schemas.openxmlformats.org/officeDocument/2006/relationships/hyperlink" Target="https://www.google.com/maps/place/data=!3m1!4b1!4m2!3m1!1s0x89c2f9e451fc5b11:0x549c050a80e5fe19" TargetMode="External"/><Relationship Id="rId16" Type="http://schemas.openxmlformats.org/officeDocument/2006/relationships/hyperlink" Target="https://www.google.com/maps/place/data=!3m1!4b1!4m2!3m1!1s0x89c2f77c9259b281:0x1d735202e32031bf" TargetMode="External"/><Relationship Id="rId19" Type="http://schemas.openxmlformats.org/officeDocument/2006/relationships/hyperlink" Target="https://www.google.com/maps/place/data=!3m1!4b1!4m2!3m1!1s0x89c2f7561748359b:0xc60e0fc480c65cc4" TargetMode="External"/><Relationship Id="rId18" Type="http://schemas.openxmlformats.org/officeDocument/2006/relationships/hyperlink" Target="https://www.google.com/maps/place/data=!3m1!4b1!4m2!3m1!1s0x89c2f9ca3690a3df:0xde8b5d538961b17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data=!3m1!4b1!4m2!3m1!1s0x89c2f7b923d2e423:0xb1a2879d7617f6ee" TargetMode="External"/><Relationship Id="rId42" Type="http://schemas.openxmlformats.org/officeDocument/2006/relationships/hyperlink" Target="https://www.google.com/maps/place/data=!3m1!4b1!4m2!3m1!1s0x89c2f9cd70841e57:0x8e9edb28baed3a4" TargetMode="External"/><Relationship Id="rId41" Type="http://schemas.openxmlformats.org/officeDocument/2006/relationships/hyperlink" Target="http://www.avvo.com" TargetMode="External"/><Relationship Id="rId43" Type="http://schemas.openxmlformats.org/officeDocument/2006/relationships/drawing" Target="../drawings/drawing2.xml"/><Relationship Id="rId1" Type="http://schemas.openxmlformats.org/officeDocument/2006/relationships/hyperlink" Target="https://prosite.prophone.com/m/vC/Jf-mechanical-heating-air-conditioning/index" TargetMode="External"/><Relationship Id="rId2" Type="http://schemas.openxmlformats.org/officeDocument/2006/relationships/hyperlink" Target="https://www.google.com/maps/place/data=!3m1!4b1!4m2!3m1!1s0x89c2f95b1426c5b1:0x1c949e559e6940c9" TargetMode="External"/><Relationship Id="rId3" Type="http://schemas.openxmlformats.org/officeDocument/2006/relationships/hyperlink" Target="https://plumbingheatingcoolingnj.com/service-area/clifton-nj-plumber-heating-air-conditioning-service-repair-installation" TargetMode="External"/><Relationship Id="rId4" Type="http://schemas.openxmlformats.org/officeDocument/2006/relationships/hyperlink" Target="https://www.google.com/maps/place/data=!3m1!4b1!4m2!3m1!1s0x89c2fea418a42b61:0x54deabc529b691d9" TargetMode="External"/><Relationship Id="rId9" Type="http://schemas.openxmlformats.org/officeDocument/2006/relationships/hyperlink" Target="http://www.instagram.com/nj.wiring.remodeling" TargetMode="External"/><Relationship Id="rId5" Type="http://schemas.openxmlformats.org/officeDocument/2006/relationships/hyperlink" Target="https://heatingpro.ueniweb.com" TargetMode="External"/><Relationship Id="rId6" Type="http://schemas.openxmlformats.org/officeDocument/2006/relationships/hyperlink" Target="https://www.google.com/maps/place/data=!3m1!4b1!4m2!3m1!1s0x89c2f9397bf23e2d:0xc755ec8c26f3cf13" TargetMode="External"/><Relationship Id="rId7" Type="http://schemas.openxmlformats.org/officeDocument/2006/relationships/hyperlink" Target="http://linkedin.com/company%20state-electric-inc" TargetMode="External"/><Relationship Id="rId8" Type="http://schemas.openxmlformats.org/officeDocument/2006/relationships/hyperlink" Target="https://www.google.com/maps/place/data=!3m1!4b1!4m2!3m1!1s0x89c2f78a04d750ef:0x4c2170cbfce03d5c" TargetMode="External"/><Relationship Id="rId31" Type="http://schemas.openxmlformats.org/officeDocument/2006/relationships/hyperlink" Target="https://www.century21.com/real-estate/cliffside-park-nj/LCNJCLIFFSIDEPARK" TargetMode="External"/><Relationship Id="rId30" Type="http://schemas.openxmlformats.org/officeDocument/2006/relationships/hyperlink" Target="https://www.google.com/maps/place/data=!3m1!4b1!4m2!3m1!1s0x89c2f70e21795555:0x8dd1e677e4958a6a" TargetMode="External"/><Relationship Id="rId33" Type="http://schemas.openxmlformats.org/officeDocument/2006/relationships/hyperlink" Target="https://homechannel.tistory.com" TargetMode="External"/><Relationship Id="rId32" Type="http://schemas.openxmlformats.org/officeDocument/2006/relationships/hyperlink" Target="https://www.google.com/maps/place/data=!3m1!4b1!4m2!3m1!1s0x89c2f7c821457ca5:0xe661bb938fb227e1" TargetMode="External"/><Relationship Id="rId35" Type="http://schemas.openxmlformats.org/officeDocument/2006/relationships/hyperlink" Target="http://www.globalrealestate.realtor" TargetMode="External"/><Relationship Id="rId34" Type="http://schemas.openxmlformats.org/officeDocument/2006/relationships/hyperlink" Target="https://www.google.com/maps/place/data=!3m1!4b1!4m2!3m1!1s0x2307f9d41cf9bd9f:0x9de4c5879070ede6" TargetMode="External"/><Relationship Id="rId37" Type="http://schemas.openxmlformats.org/officeDocument/2006/relationships/hyperlink" Target="http://www.century21.com" TargetMode="External"/><Relationship Id="rId36" Type="http://schemas.openxmlformats.org/officeDocument/2006/relationships/hyperlink" Target="https://www.google.com/maps/place/data=!3m1!4b1!4m2!3m1!1s0x89c2f789e8d217eb:0x8d79c020282f4d32" TargetMode="External"/><Relationship Id="rId39" Type="http://schemas.openxmlformats.org/officeDocument/2006/relationships/hyperlink" Target="https://www.zillow.com/profile/EuniceHwangRealtor" TargetMode="External"/><Relationship Id="rId38" Type="http://schemas.openxmlformats.org/officeDocument/2006/relationships/hyperlink" Target="https://www.google.com/maps/place/data=!3m1!4b1!4m2!3m1!1s0x89c2f7adf3bafc19:0xad479ab9a62bcd41" TargetMode="External"/><Relationship Id="rId20" Type="http://schemas.openxmlformats.org/officeDocument/2006/relationships/hyperlink" Target="https://www.google.com/maps/place/data=!3m1!4b1!4m2!3m1!1s0x89c2f79955555555:0xd8f22485df82790b" TargetMode="External"/><Relationship Id="rId22" Type="http://schemas.openxmlformats.org/officeDocument/2006/relationships/hyperlink" Target="https://www.google.com/maps/place/data=!3m1!4b1!4m2!3m1!1s0x21cbeb279c9de93:0x34ff9446465d70f7" TargetMode="External"/><Relationship Id="rId21" Type="http://schemas.openxmlformats.org/officeDocument/2006/relationships/hyperlink" Target="https://sites.google.com/view/njelectrician/home" TargetMode="External"/><Relationship Id="rId24" Type="http://schemas.openxmlformats.org/officeDocument/2006/relationships/hyperlink" Target="https://www.google.com/maps/place/data=!3m1!4b1!4m2!3m1!1s0x89c2f7e7b359c2b5:0xb5f8d3cb5dfb8a1e" TargetMode="External"/><Relationship Id="rId23" Type="http://schemas.openxmlformats.org/officeDocument/2006/relationships/hyperlink" Target="https://www.123yourhealth.com" TargetMode="External"/><Relationship Id="rId26" Type="http://schemas.openxmlformats.org/officeDocument/2006/relationships/hyperlink" Target="https://www.google.com/maps/place/data=!3m1!4b1!4m2!3m1!1s0x89c2fa04de5ae22d:0xcff932c82be66b" TargetMode="External"/><Relationship Id="rId25" Type="http://schemas.openxmlformats.org/officeDocument/2006/relationships/hyperlink" Target="https://hackensackwellnesscenter.com" TargetMode="External"/><Relationship Id="rId28" Type="http://schemas.openxmlformats.org/officeDocument/2006/relationships/hyperlink" Target="https://www.google.com/maps/place/data=!3m1!4b1!4m2!3m1!1s0x89c2f751bc655555:0x328479be93e01d5a" TargetMode="External"/><Relationship Id="rId27" Type="http://schemas.openxmlformats.org/officeDocument/2006/relationships/hyperlink" Target="https://weence.com/medical/doctors/teaneck/lefkowitz-chiropractic" TargetMode="External"/><Relationship Id="rId29" Type="http://schemas.openxmlformats.org/officeDocument/2006/relationships/hyperlink" Target="https://www.realtor.com/realestateagents/56b0a23a0fa4170100747ba5" TargetMode="External"/><Relationship Id="rId11" Type="http://schemas.openxmlformats.org/officeDocument/2006/relationships/hyperlink" Target="http://electricalland.com/Fort-Lee" TargetMode="External"/><Relationship Id="rId10" Type="http://schemas.openxmlformats.org/officeDocument/2006/relationships/hyperlink" Target="https://www.google.com/maps/place/data=!3m1!4b1!4m2!3m1!1s0x8d73eb31df9c467f:0x37d2339bd8d43ad9" TargetMode="External"/><Relationship Id="rId13" Type="http://schemas.openxmlformats.org/officeDocument/2006/relationships/hyperlink" Target="http://localtrustedelectricians.com/Fairview" TargetMode="External"/><Relationship Id="rId12" Type="http://schemas.openxmlformats.org/officeDocument/2006/relationships/hyperlink" Target="https://www.google.com/maps/place/data=!3m1!4b1!4m2!3m1!1s0x89c2f6e57115927f:0x6a03f1ec9a446983" TargetMode="External"/><Relationship Id="rId15" Type="http://schemas.openxmlformats.org/officeDocument/2006/relationships/hyperlink" Target="https://www.unitedrentals.com/locations/nj/ridgefield-park/power-hvac-rentals/k58" TargetMode="External"/><Relationship Id="rId14" Type="http://schemas.openxmlformats.org/officeDocument/2006/relationships/hyperlink" Target="https://www.google.com/maps/place/data=!3m1!4b1!4m2!3m1!1s0x89c2f7bd832d3e11:0xee21b4c2701f6232" TargetMode="External"/><Relationship Id="rId17" Type="http://schemas.openxmlformats.org/officeDocument/2006/relationships/hyperlink" Target="https://usmaperx.org/details/hart-electric-ChIJFfn" TargetMode="External"/><Relationship Id="rId16" Type="http://schemas.openxmlformats.org/officeDocument/2006/relationships/hyperlink" Target="https://www.google.com/maps/place/data=!3m1!4b1!4m2!3m1!1s0x89c2fbf755cea295:0x82627aa93db1d4d4" TargetMode="External"/><Relationship Id="rId19" Type="http://schemas.openxmlformats.org/officeDocument/2006/relationships/hyperlink" Target="https://city-electricians.com/Ridgefield" TargetMode="External"/><Relationship Id="rId18" Type="http://schemas.openxmlformats.org/officeDocument/2006/relationships/hyperlink" Target="https://www.google.com/maps/place/data=!3m1!4b1!4m2!3m1!1s0x89c2f9c5e3fcf915:0xe6688cd52ca6411e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maps/place/data=!3m1!4b1!4m2!3m1!1s0x89c2f9c55219de2b:0x150d2a37f8b5d7e9" TargetMode="External"/><Relationship Id="rId194" Type="http://schemas.openxmlformats.org/officeDocument/2006/relationships/hyperlink" Target="https://www.google.com/maps/place/data=!3m1!4b1!4m2!3m1!1s0x89c2f76143b1a6f3:0x2369fdc88e6100f7" TargetMode="External"/><Relationship Id="rId193" Type="http://schemas.openxmlformats.org/officeDocument/2006/relationships/hyperlink" Target="https://www.nuvasmile.com/locations/ridgefield-park-office" TargetMode="External"/><Relationship Id="rId192" Type="http://schemas.openxmlformats.org/officeDocument/2006/relationships/hyperlink" Target="https://www.google.com/maps/place/data=!3m1!4b1!4m2!3m1!1s0x89c2f760b31f70e7:0x1cfff37db7170c74" TargetMode="External"/><Relationship Id="rId191" Type="http://schemas.openxmlformats.org/officeDocument/2006/relationships/hyperlink" Target="https://villagedentalnj.com" TargetMode="External"/><Relationship Id="rId187" Type="http://schemas.openxmlformats.org/officeDocument/2006/relationships/hyperlink" Target="https://aestheticdentalcenters4you.com" TargetMode="External"/><Relationship Id="rId186" Type="http://schemas.openxmlformats.org/officeDocument/2006/relationships/hyperlink" Target="https://www.google.com/maps/place/data=!3m1!4b1!4m2!3m1!1s0x89c2f835c332263d:0xa09168330b187bac" TargetMode="External"/><Relationship Id="rId185" Type="http://schemas.openxmlformats.org/officeDocument/2006/relationships/hyperlink" Target="https://www.google.com/maps/place/data=!3m1!4b1!4m2!3m1!1s0x89c2f903701a6cc1:0x90edb34a843e69f4" TargetMode="External"/><Relationship Id="rId184" Type="http://schemas.openxmlformats.org/officeDocument/2006/relationships/hyperlink" Target="https://www.google.com/maps/place/data=!3m1!4b1!4m2!3m1!1s0x21cbeb279c9de93:0x34ff9446465d70f7" TargetMode="External"/><Relationship Id="rId189" Type="http://schemas.openxmlformats.org/officeDocument/2006/relationships/hyperlink" Target="https://www.mydrdental.com/location/new-jersey/hackensack" TargetMode="External"/><Relationship Id="rId188" Type="http://schemas.openxmlformats.org/officeDocument/2006/relationships/hyperlink" Target="https://www.google.com/maps/place/data=!3m1!4b1!4m2!3m1!1s0x89c2f77b459bc79b:0xda1c5d48a2518db2" TargetMode="External"/><Relationship Id="rId183" Type="http://schemas.openxmlformats.org/officeDocument/2006/relationships/hyperlink" Target="https://sites.google.com/view/njelectrician/home" TargetMode="External"/><Relationship Id="rId182" Type="http://schemas.openxmlformats.org/officeDocument/2006/relationships/hyperlink" Target="https://www.google.com/maps/place/data=!3m1!4b1!4m2!3m1!1s0x89c2f6e7912da29d:0xc28df0290800261a" TargetMode="External"/><Relationship Id="rId181" Type="http://schemas.openxmlformats.org/officeDocument/2006/relationships/hyperlink" Target="https://www.google.com/maps/place/data=!3m1!4b1!4m2!3m1!1s0x89c25809086da8a9:0x3a38807fcb136d31" TargetMode="External"/><Relationship Id="rId180" Type="http://schemas.openxmlformats.org/officeDocument/2006/relationships/hyperlink" Target="https://www.google.com/maps/place/data=!3m1!4b1!4m2!3m1!1s0x89c2f9ed574f3b6f:0xf1bb2e0a316f8f68" TargetMode="External"/><Relationship Id="rId176" Type="http://schemas.openxmlformats.org/officeDocument/2006/relationships/hyperlink" Target="https://www.google.com/maps/place/data=!3m1!4b1!4m2!3m1!1s0x89c245eabfd2a369:0x3e45154cdc9ac58e" TargetMode="External"/><Relationship Id="rId297" Type="http://schemas.openxmlformats.org/officeDocument/2006/relationships/hyperlink" Target="http://www.drsungkimchiro.com" TargetMode="External"/><Relationship Id="rId175" Type="http://schemas.openxmlformats.org/officeDocument/2006/relationships/hyperlink" Target="https://lightwireelectric.com" TargetMode="External"/><Relationship Id="rId296" Type="http://schemas.openxmlformats.org/officeDocument/2006/relationships/hyperlink" Target="https://www.google.com/maps/place/data=!3m1!4b1!4m2!3m1!1s0x89c2fa04de5ae22d:0xcff932c82be66b" TargetMode="External"/><Relationship Id="rId174" Type="http://schemas.openxmlformats.org/officeDocument/2006/relationships/hyperlink" Target="https://www.google.com/maps/place/data=!3m1!4b1!4m2!3m1!1s0x89c2f8331b9eb0b1:0xf3b0a8947da0a3b5" TargetMode="External"/><Relationship Id="rId295" Type="http://schemas.openxmlformats.org/officeDocument/2006/relationships/hyperlink" Target="https://hackensackwellnesscenter.com" TargetMode="External"/><Relationship Id="rId173" Type="http://schemas.openxmlformats.org/officeDocument/2006/relationships/hyperlink" Target="http://adcec.com" TargetMode="External"/><Relationship Id="rId294" Type="http://schemas.openxmlformats.org/officeDocument/2006/relationships/hyperlink" Target="https://www.google.com/maps/place/data=!3m1!4b1!4m2!3m1!1s0x89c2f7754d27a67f:0x95378964bb72117c" TargetMode="External"/><Relationship Id="rId179" Type="http://schemas.openxmlformats.org/officeDocument/2006/relationships/hyperlink" Target="https://www.google.com/maps/place/data=!3m1!4b1!4m2!3m1!1s0x89c2f7a952882eff:0x9731bf4dd1afbfa5" TargetMode="External"/><Relationship Id="rId178" Type="http://schemas.openxmlformats.org/officeDocument/2006/relationships/hyperlink" Target="https://www.google.com/maps/place/data=!3m1!4b1!4m2!3m1!1s0x89c2f93f23877a85:0xfc7364efd6a08837" TargetMode="External"/><Relationship Id="rId299" Type="http://schemas.openxmlformats.org/officeDocument/2006/relationships/hyperlink" Target="https://www.wellness1ofsb.com" TargetMode="External"/><Relationship Id="rId177" Type="http://schemas.openxmlformats.org/officeDocument/2006/relationships/hyperlink" Target="https://troonelectric.com" TargetMode="External"/><Relationship Id="rId298" Type="http://schemas.openxmlformats.org/officeDocument/2006/relationships/hyperlink" Target="https://www.google.com/maps/place/data=!3m1!4b1!4m2!3m1!1s0x89c2f96c025ad7f5:0x219f88380b34c7ea" TargetMode="External"/><Relationship Id="rId198" Type="http://schemas.openxmlformats.org/officeDocument/2006/relationships/hyperlink" Target="https://curciodental.com" TargetMode="External"/><Relationship Id="rId197" Type="http://schemas.openxmlformats.org/officeDocument/2006/relationships/hyperlink" Target="https://www.google.com/maps/place/data=!3m1!4b1!4m2!3m1!1s0x89c2f7820bf96be3:0xef59e16c36173e23" TargetMode="External"/><Relationship Id="rId196" Type="http://schemas.openxmlformats.org/officeDocument/2006/relationships/hyperlink" Target="https://www.google.com/maps/place/data=!3m1!4b1!4m2!3m1!1s0x89c2f74f7af39d27:0x34114320a81d634a" TargetMode="External"/><Relationship Id="rId195" Type="http://schemas.openxmlformats.org/officeDocument/2006/relationships/hyperlink" Target="https://www.smilewithgracedental.com" TargetMode="External"/><Relationship Id="rId199" Type="http://schemas.openxmlformats.org/officeDocument/2006/relationships/hyperlink" Target="https://www.google.com/maps/place/data=!3m1!4b1!4m2!3m1!1s0x89c2f761306ef855:0x85c53efcfdec2681" TargetMode="External"/><Relationship Id="rId150" Type="http://schemas.openxmlformats.org/officeDocument/2006/relationships/hyperlink" Target="https://city-electricians.com/Ridgefield" TargetMode="External"/><Relationship Id="rId271" Type="http://schemas.openxmlformats.org/officeDocument/2006/relationships/hyperlink" Target="https://www.google.com/maps/place/data=!3m1!4b1!4m2!3m1!1s0x89c2fa04dda54ce7:0xb88a3495db859db1" TargetMode="External"/><Relationship Id="rId392" Type="http://schemas.openxmlformats.org/officeDocument/2006/relationships/hyperlink" Target="https://www.google.com/maps/place/data=!3m1!4b1!4m2!3m1!1s0x89c2fafe398b01db:0xe1c9cac699272395" TargetMode="External"/><Relationship Id="rId270" Type="http://schemas.openxmlformats.org/officeDocument/2006/relationships/hyperlink" Target="https://hackensackwellnesscenter.com" TargetMode="External"/><Relationship Id="rId391" Type="http://schemas.openxmlformats.org/officeDocument/2006/relationships/hyperlink" Target="https://www.lynchlawyers.com" TargetMode="External"/><Relationship Id="rId390" Type="http://schemas.openxmlformats.org/officeDocument/2006/relationships/hyperlink" Target="https://www.google.com/maps/place/data=!3m1!4b1!4m2!3m1!1s0x89c2f9f7b0a725df:0xa915f6d622154ff6" TargetMode="External"/><Relationship Id="rId1" Type="http://schemas.openxmlformats.org/officeDocument/2006/relationships/hyperlink" Target="https://firstchoicenj.com" TargetMode="External"/><Relationship Id="rId2" Type="http://schemas.openxmlformats.org/officeDocument/2006/relationships/hyperlink" Target="https://www.google.com/maps/place/data=!3m1!4b1!4m2!3m1!1s0x89c2f9089b4bb4a5:0x8eaeb1ad353e1bea" TargetMode="External"/><Relationship Id="rId3" Type="http://schemas.openxmlformats.org/officeDocument/2006/relationships/hyperlink" Target="https://prosite.prophone.com/m/vC/Jf-mechanical-heating-air-conditioning/index" TargetMode="External"/><Relationship Id="rId149" Type="http://schemas.openxmlformats.org/officeDocument/2006/relationships/hyperlink" Target="https://www.google.com/maps/place/data=!3m1!4b1!4m2!3m1!1s0x89c2f7ba0302a47b:0xd52e834110b23bd6" TargetMode="External"/><Relationship Id="rId4" Type="http://schemas.openxmlformats.org/officeDocument/2006/relationships/hyperlink" Target="https://www.google.com/maps/place/data=!3m1!4b1!4m2!3m1!1s0x89c2f95b1426c5b1:0x1c949e559e6940c9" TargetMode="External"/><Relationship Id="rId148" Type="http://schemas.openxmlformats.org/officeDocument/2006/relationships/hyperlink" Target="https://www.google.com/maps/place/data=!3m1!4b1!4m2!3m1!1s0x89c2f7604866310d:0xf0b2891cc591edc7" TargetMode="External"/><Relationship Id="rId269" Type="http://schemas.openxmlformats.org/officeDocument/2006/relationships/hyperlink" Target="https://www.google.com/maps/place/data=!3m1!4b1!4m2!3m1!1s0x89c2f75a7748130d:0x257a9804f67e4e22" TargetMode="External"/><Relationship Id="rId9" Type="http://schemas.openxmlformats.org/officeDocument/2006/relationships/hyperlink" Target="https://dillonheatingac.com" TargetMode="External"/><Relationship Id="rId143" Type="http://schemas.openxmlformats.org/officeDocument/2006/relationships/hyperlink" Target="https://www.google.com/maps/place/data=!3m1!4b1!4m2!3m1!1s0x89c2f717ca36aaab:0x51b37466e162ed23" TargetMode="External"/><Relationship Id="rId264" Type="http://schemas.openxmlformats.org/officeDocument/2006/relationships/hyperlink" Target="https://www.google.com/maps/place/data=!3m1!4b1!4m2!3m1!1s0x89c2f73b4e5f7151:0xb3da999da2801111" TargetMode="External"/><Relationship Id="rId385" Type="http://schemas.openxmlformats.org/officeDocument/2006/relationships/hyperlink" Target="http://www.avvo.com" TargetMode="External"/><Relationship Id="rId142" Type="http://schemas.openxmlformats.org/officeDocument/2006/relationships/hyperlink" Target="https://www.google.com/maps/place/data=!3m1!4b1!4m2!3m1!1s0x89c2f8657c3c6dc1:0x36d9bbe3b5a25134" TargetMode="External"/><Relationship Id="rId263" Type="http://schemas.openxmlformats.org/officeDocument/2006/relationships/hyperlink" Target="https://www.google.com/maps/place/data=!3m1!4b1!4m2!3m1!1s0x89c2f7d1ce1cba91:0x1de47edb1886632c" TargetMode="External"/><Relationship Id="rId384" Type="http://schemas.openxmlformats.org/officeDocument/2006/relationships/hyperlink" Target="https://www.google.com/maps/place/data=!3m1!4b1!4m2!3m1!1s0x89c2fa0be0805fbb:0x34de0ad830e19af2" TargetMode="External"/><Relationship Id="rId141" Type="http://schemas.openxmlformats.org/officeDocument/2006/relationships/hyperlink" Target="https://www.haddadelectricnj.com" TargetMode="External"/><Relationship Id="rId262" Type="http://schemas.openxmlformats.org/officeDocument/2006/relationships/hyperlink" Target="http://www.acechiropc.com" TargetMode="External"/><Relationship Id="rId383" Type="http://schemas.openxmlformats.org/officeDocument/2006/relationships/hyperlink" Target="http://www.rsdowdlaw.com" TargetMode="External"/><Relationship Id="rId140" Type="http://schemas.openxmlformats.org/officeDocument/2006/relationships/hyperlink" Target="https://www.google.com/maps/place/data=!3m1!4b1!4m2!3m1!1s0x89c2f9e54922296d:0x41dda8f8b3c1c677" TargetMode="External"/><Relationship Id="rId261" Type="http://schemas.openxmlformats.org/officeDocument/2006/relationships/hyperlink" Target="https://www.google.com/maps/place/data=!3m1!4b1!4m2!3m1!1s0x89c2f951767ee89d:0x70b47121a0c58cdc" TargetMode="External"/><Relationship Id="rId382" Type="http://schemas.openxmlformats.org/officeDocument/2006/relationships/hyperlink" Target="https://www.google.com/maps/place/data=!3m1!4b1!4m2!3m1!1s0x89c2f76ea977c5f3:0xdb196b995c66b4f9" TargetMode="External"/><Relationship Id="rId5" Type="http://schemas.openxmlformats.org/officeDocument/2006/relationships/hyperlink" Target="https://bluerayheatingandcooling.com" TargetMode="External"/><Relationship Id="rId147" Type="http://schemas.openxmlformats.org/officeDocument/2006/relationships/hyperlink" Target="https://www.google.com/maps/place/data=!3m1!4b1!4m2!3m1!1s0x89c2f70390b6ab9d:0x5b42f06aa5009c2f" TargetMode="External"/><Relationship Id="rId268" Type="http://schemas.openxmlformats.org/officeDocument/2006/relationships/hyperlink" Target="http://drdangolden.com" TargetMode="External"/><Relationship Id="rId389" Type="http://schemas.openxmlformats.org/officeDocument/2006/relationships/hyperlink" Target="https://www.sutnicklaw.com/?npcmp=dir:local:4137754:07601" TargetMode="External"/><Relationship Id="rId6" Type="http://schemas.openxmlformats.org/officeDocument/2006/relationships/hyperlink" Target="https://www.google.com/maps/place/data=!3m1!4b1!4m2!3m1!1s0x89c2ffde348130d7:0x89518d4ddc76fdfe" TargetMode="External"/><Relationship Id="rId146" Type="http://schemas.openxmlformats.org/officeDocument/2006/relationships/hyperlink" Target="https://www.google.com/maps/place/data=!3m1!4b1!4m2!3m1!1s0x89c2f726d1e385a5:0xb984d270b6911a6e" TargetMode="External"/><Relationship Id="rId267" Type="http://schemas.openxmlformats.org/officeDocument/2006/relationships/hyperlink" Target="https://www.google.com/maps/place/data=!3m1!4b1!4m2!3m1!1s0x89c2f9d239c33aff:0xd3e971f535be981e" TargetMode="External"/><Relationship Id="rId388" Type="http://schemas.openxmlformats.org/officeDocument/2006/relationships/hyperlink" Target="https://www.google.com/maps/place/data=!3m1!4b1!4m2!3m1!1s0x89c2f9f9d55db80b:0x37ada0da26a2ffa6" TargetMode="External"/><Relationship Id="rId7" Type="http://schemas.openxmlformats.org/officeDocument/2006/relationships/hyperlink" Target="http://annexhvacsolutions.com" TargetMode="External"/><Relationship Id="rId145" Type="http://schemas.openxmlformats.org/officeDocument/2006/relationships/hyperlink" Target="https://www.google.com/maps/place/data=!3m1!4b1!4m2!3m1!1s0x25721da629a54f75:0xdf35d6750fa0d6d8" TargetMode="External"/><Relationship Id="rId266" Type="http://schemas.openxmlformats.org/officeDocument/2006/relationships/hyperlink" Target="https://www.google.com/maps/place/data=!3m1!4b1!4m2!3m1!1s0x89c2f7b21087642f:0xb316ddc5b8a02710" TargetMode="External"/><Relationship Id="rId387" Type="http://schemas.openxmlformats.org/officeDocument/2006/relationships/hyperlink" Target="https://www.divorcelawyers1.com" TargetMode="External"/><Relationship Id="rId8" Type="http://schemas.openxmlformats.org/officeDocument/2006/relationships/hyperlink" Target="https://www.google.com/maps/place/data=!3m1!4b1!4m2!3m1!1s0x89c255a549ecffff:0xe3c1eea698095a80" TargetMode="External"/><Relationship Id="rId144" Type="http://schemas.openxmlformats.org/officeDocument/2006/relationships/hyperlink" Target="https://ytelectrical.com/electrician-in-new-jersey" TargetMode="External"/><Relationship Id="rId265" Type="http://schemas.openxmlformats.org/officeDocument/2006/relationships/hyperlink" Target="https://www.gfc-health.com" TargetMode="External"/><Relationship Id="rId386" Type="http://schemas.openxmlformats.org/officeDocument/2006/relationships/hyperlink" Target="https://www.google.com/maps/place/data=!3m1!4b1!4m2!3m1!1s0x89c2f9cd70841e57:0x8e9edb28baed3a4" TargetMode="External"/><Relationship Id="rId260" Type="http://schemas.openxmlformats.org/officeDocument/2006/relationships/hyperlink" Target="https://www.pintodentalcare.com" TargetMode="External"/><Relationship Id="rId381" Type="http://schemas.openxmlformats.org/officeDocument/2006/relationships/hyperlink" Target="http://jchoilaw.com" TargetMode="External"/><Relationship Id="rId380" Type="http://schemas.openxmlformats.org/officeDocument/2006/relationships/hyperlink" Target="https://www.google.com/maps/place/data=!3m1!4b1!4m2!3m1!1s0x89c2f9f6ba64e9b9:0xf48ddfd4a49dab4f" TargetMode="External"/><Relationship Id="rId139" Type="http://schemas.openxmlformats.org/officeDocument/2006/relationships/hyperlink" Target="https://www.google.com/maps/place/data=!3m1!4b1!4m2!3m1!1s0x89c2f9c5e3fcf915:0xe6688cd52ca6411e" TargetMode="External"/><Relationship Id="rId138" Type="http://schemas.openxmlformats.org/officeDocument/2006/relationships/hyperlink" Target="https://usmaperx.org/details/hart-electric-ChIJFfn" TargetMode="External"/><Relationship Id="rId259" Type="http://schemas.openxmlformats.org/officeDocument/2006/relationships/hyperlink" Target="https://www.google.com/maps/place/data=!3m1!4b1!4m2!3m1!1s0x89c2f7a568f931ff:0x432302ed3bc97264" TargetMode="External"/><Relationship Id="rId137" Type="http://schemas.openxmlformats.org/officeDocument/2006/relationships/hyperlink" Target="https://www.google.com/maps/place/data=!3m1!4b1!4m2!3m1!1s0x89c2fbf755cea295:0x82627aa93db1d4d4" TargetMode="External"/><Relationship Id="rId258" Type="http://schemas.openxmlformats.org/officeDocument/2006/relationships/hyperlink" Target="http://www.bergenartsdental.com" TargetMode="External"/><Relationship Id="rId379" Type="http://schemas.openxmlformats.org/officeDocument/2006/relationships/hyperlink" Target="https://mensrightsdivorcelaw.com" TargetMode="External"/><Relationship Id="rId132" Type="http://schemas.openxmlformats.org/officeDocument/2006/relationships/hyperlink" Target="https://www.google.com/maps/place/data=!3m1!4b1!4m2!3m1!1s0x89c2f9f21e935e4b:0x10fd73c02b15fc62" TargetMode="External"/><Relationship Id="rId253" Type="http://schemas.openxmlformats.org/officeDocument/2006/relationships/hyperlink" Target="https://www.google.com/maps/place/data=!3m1!4b1!4m2!3m1!1s0x89c2f710f8c36c25:0xfdeeab837e4d48d" TargetMode="External"/><Relationship Id="rId374" Type="http://schemas.openxmlformats.org/officeDocument/2006/relationships/hyperlink" Target="https://www.google.com/maps/place/data=!3m1!4b1!4m2!3m1!1s0x89c25a16830d73ad:0x90efba84394876ee" TargetMode="External"/><Relationship Id="rId131" Type="http://schemas.openxmlformats.org/officeDocument/2006/relationships/hyperlink" Target="http://a1electrichvac.com" TargetMode="External"/><Relationship Id="rId252" Type="http://schemas.openxmlformats.org/officeDocument/2006/relationships/hyperlink" Target="http://www.timedentalgroup.com" TargetMode="External"/><Relationship Id="rId373" Type="http://schemas.openxmlformats.org/officeDocument/2006/relationships/hyperlink" Target="https://www.seegerweiss.com" TargetMode="External"/><Relationship Id="rId130" Type="http://schemas.openxmlformats.org/officeDocument/2006/relationships/hyperlink" Target="https://www.google.com/maps/place/data=!3m1!4b1!4m2!3m1!1s0x89c2f7561748359b:0xc60e0fc480c65cc4" TargetMode="External"/><Relationship Id="rId251" Type="http://schemas.openxmlformats.org/officeDocument/2006/relationships/hyperlink" Target="https://www.google.com/maps/place/data=!3m1!4b1!4m2!3m1!1s0x89c2fa27638cb985:0xca96cc4f0a5f618b" TargetMode="External"/><Relationship Id="rId372" Type="http://schemas.openxmlformats.org/officeDocument/2006/relationships/hyperlink" Target="https://www.google.com/maps/place/data=!3m1!4b1!4m2!3m1!1s0x89c2f8a1bd168eb1:0x26344907a6166b25" TargetMode="External"/><Relationship Id="rId250" Type="http://schemas.openxmlformats.org/officeDocument/2006/relationships/hyperlink" Target="https://hackensackdentistsnj.com" TargetMode="External"/><Relationship Id="rId371" Type="http://schemas.openxmlformats.org/officeDocument/2006/relationships/hyperlink" Target="http://choilawgroup.com" TargetMode="External"/><Relationship Id="rId136" Type="http://schemas.openxmlformats.org/officeDocument/2006/relationships/hyperlink" Target="https://www.unitedrentals.com/locations/nj/ridgefield-park/power-hvac-rentals/k58" TargetMode="External"/><Relationship Id="rId257" Type="http://schemas.openxmlformats.org/officeDocument/2006/relationships/hyperlink" Target="https://www.google.com/maps/place/data=!3m1!4b1!4m2!3m1!1s0x89c2fa2196733dbb:0x1986f16206853f53" TargetMode="External"/><Relationship Id="rId378" Type="http://schemas.openxmlformats.org/officeDocument/2006/relationships/hyperlink" Target="https://www.google.com/maps/place/data=!3m1!4b1!4m2!3m1!1s0x89c2f71d16297019:0x7338d776dec65db5" TargetMode="External"/><Relationship Id="rId135" Type="http://schemas.openxmlformats.org/officeDocument/2006/relationships/hyperlink" Target="https://www.google.com/maps/place/data=!3m1!4b1!4m2!3m1!1s0x2f1bb472a7334c11:0x8838ac158c5a8248" TargetMode="External"/><Relationship Id="rId256" Type="http://schemas.openxmlformats.org/officeDocument/2006/relationships/hyperlink" Target="http://goodmorningdentalnj.com" TargetMode="External"/><Relationship Id="rId377" Type="http://schemas.openxmlformats.org/officeDocument/2006/relationships/hyperlink" Target="https://www.lawyer-ko.com" TargetMode="External"/><Relationship Id="rId134" Type="http://schemas.openxmlformats.org/officeDocument/2006/relationships/hyperlink" Target="http://www.livecurrentelectric.com" TargetMode="External"/><Relationship Id="rId255" Type="http://schemas.openxmlformats.org/officeDocument/2006/relationships/hyperlink" Target="https://www.google.com/maps/place/data=!3m1!4b1!4m2!3m1!1s0x89c2f6dd95f2d26b:0xdb3c07a822b8f3d6" TargetMode="External"/><Relationship Id="rId376" Type="http://schemas.openxmlformats.org/officeDocument/2006/relationships/hyperlink" Target="https://www.google.com/maps/place/data=!3m1!4b1!4m2!3m1!1s0x89c2f7a54039519b:0x343b0c5497317b3" TargetMode="External"/><Relationship Id="rId133" Type="http://schemas.openxmlformats.org/officeDocument/2006/relationships/hyperlink" Target="https://www.google.com/maps/place/data=!3m1!4b1!4m2!3m1!1s0x89c2f7092611eec3:0xea91aaf679555de" TargetMode="External"/><Relationship Id="rId254" Type="http://schemas.openxmlformats.org/officeDocument/2006/relationships/hyperlink" Target="http://www.andrewbaedds.com" TargetMode="External"/><Relationship Id="rId375" Type="http://schemas.openxmlformats.org/officeDocument/2006/relationships/hyperlink" Target="http://averylaw-nj.com" TargetMode="External"/><Relationship Id="rId172" Type="http://schemas.openxmlformats.org/officeDocument/2006/relationships/hyperlink" Target="https://www.google.com/maps/place/data=!3m1!4b1!4m2!3m1!1s0x89c2f0f1d6849ab3:0xf3d6dc659a45fd9e" TargetMode="External"/><Relationship Id="rId293" Type="http://schemas.openxmlformats.org/officeDocument/2006/relationships/hyperlink" Target="https://www.google.com/maps/place/data=!3m1!4b1!4m2!3m1!1s0x89c2f754f0d711c5:0xe20c5767e20775a4" TargetMode="External"/><Relationship Id="rId171" Type="http://schemas.openxmlformats.org/officeDocument/2006/relationships/hyperlink" Target="http://a1electrichvac.com" TargetMode="External"/><Relationship Id="rId292" Type="http://schemas.openxmlformats.org/officeDocument/2006/relationships/hyperlink" Target="http://drmjfitzgerald.com" TargetMode="External"/><Relationship Id="rId170" Type="http://schemas.openxmlformats.org/officeDocument/2006/relationships/hyperlink" Target="https://www.google.com/maps/place/data=!3m1!4b1!4m2!3m1!1s0x89c2f98854c6075f:0x855cd977458d6548" TargetMode="External"/><Relationship Id="rId291" Type="http://schemas.openxmlformats.org/officeDocument/2006/relationships/hyperlink" Target="https://www.google.com/maps/place/data=!3m1!4b1!4m2!3m1!1s0x89c2f746d48941b5:0x7c1555d98b952a8e" TargetMode="External"/><Relationship Id="rId290" Type="http://schemas.openxmlformats.org/officeDocument/2006/relationships/hyperlink" Target="https://elitespine-nj.com" TargetMode="External"/><Relationship Id="rId165" Type="http://schemas.openxmlformats.org/officeDocument/2006/relationships/hyperlink" Target="https://www.google.com/maps/place/data=!3m1!4b1!4m2!3m1!1s0x89c2f72f03a47b53:0xe5363a83354d81a3" TargetMode="External"/><Relationship Id="rId286" Type="http://schemas.openxmlformats.org/officeDocument/2006/relationships/hyperlink" Target="http://www.ckpain.com" TargetMode="External"/><Relationship Id="rId164" Type="http://schemas.openxmlformats.org/officeDocument/2006/relationships/hyperlink" Target="https://www.google.com/maps/place/data=!3m1!4b1!4m2!3m1!1s0x89c2f9eda6c2a3dd:0xf822a31d032af9eb" TargetMode="External"/><Relationship Id="rId285" Type="http://schemas.openxmlformats.org/officeDocument/2006/relationships/hyperlink" Target="https://www.google.com/maps/place/data=!3m1!4b1!4m2!3m1!1s0x89c2fa47ee455ea3:0x712ac09c678c2c53" TargetMode="External"/><Relationship Id="rId163" Type="http://schemas.openxmlformats.org/officeDocument/2006/relationships/hyperlink" Target="http://www.raymondelectrical.com" TargetMode="External"/><Relationship Id="rId284" Type="http://schemas.openxmlformats.org/officeDocument/2006/relationships/hyperlink" Target="https://www.bergenspine.com" TargetMode="External"/><Relationship Id="rId162" Type="http://schemas.openxmlformats.org/officeDocument/2006/relationships/hyperlink" Target="https://www.google.com/maps/place/data=!3m1!4b1!4m2!3m1!1s0x89c2f6f08536c4bb:0x12b189469331537d" TargetMode="External"/><Relationship Id="rId283" Type="http://schemas.openxmlformats.org/officeDocument/2006/relationships/hyperlink" Target="https://www.google.com/maps/place/data=!3m1!4b1!4m2!3m1!1s0x89c2f6e6fdd4722b:0x46a477174bdc703" TargetMode="External"/><Relationship Id="rId169" Type="http://schemas.openxmlformats.org/officeDocument/2006/relationships/hyperlink" Target="http://www.centurionelectric.net" TargetMode="External"/><Relationship Id="rId168" Type="http://schemas.openxmlformats.org/officeDocument/2006/relationships/hyperlink" Target="https://www.google.com/maps/place/data=!3m1!4b1!4m2!3m1!1s0x89c2f0c117e68d59:0xd8f5ad4a10afe59" TargetMode="External"/><Relationship Id="rId289" Type="http://schemas.openxmlformats.org/officeDocument/2006/relationships/hyperlink" Target="https://www.google.com/maps/place/data=!3m1!4b1!4m2!3m1!1s0x89c2f7e7b359c2b5:0xb5f8d3cb5dfb8a1e" TargetMode="External"/><Relationship Id="rId167" Type="http://schemas.openxmlformats.org/officeDocument/2006/relationships/hyperlink" Target="http://lsp-electric.com" TargetMode="External"/><Relationship Id="rId288" Type="http://schemas.openxmlformats.org/officeDocument/2006/relationships/hyperlink" Target="https://www.123yourhealth.com" TargetMode="External"/><Relationship Id="rId166" Type="http://schemas.openxmlformats.org/officeDocument/2006/relationships/hyperlink" Target="https://www.google.com/maps/place/data=!3m1!4b1!4m2!3m1!1s0x89c2f7031abc96d7:0x4778acb98338db9d" TargetMode="External"/><Relationship Id="rId287" Type="http://schemas.openxmlformats.org/officeDocument/2006/relationships/hyperlink" Target="https://www.google.com/maps/place/data=!3m1!4b1!4m2!3m1!1s0x89c2f70d26387b25:0x9d748bf115427251" TargetMode="External"/><Relationship Id="rId161" Type="http://schemas.openxmlformats.org/officeDocument/2006/relationships/hyperlink" Target="http://www.zimickelectric.com" TargetMode="External"/><Relationship Id="rId282" Type="http://schemas.openxmlformats.org/officeDocument/2006/relationships/hyperlink" Target="http://www.drpaulkang.com" TargetMode="External"/><Relationship Id="rId160" Type="http://schemas.openxmlformats.org/officeDocument/2006/relationships/hyperlink" Target="https://www.google.com/maps/place/data=!3m1!4b1!4m2!3m1!1s0x89c2f7b31a1b749f:0x788f404145c9a736" TargetMode="External"/><Relationship Id="rId281" Type="http://schemas.openxmlformats.org/officeDocument/2006/relationships/hyperlink" Target="https://www.google.com/maps/place/data=!3m1!4b1!4m2!3m1!1s0x89c2f75a7748130d:0x6878694cb6cd0533" TargetMode="External"/><Relationship Id="rId280" Type="http://schemas.openxmlformats.org/officeDocument/2006/relationships/hyperlink" Target="http://www.drdangolden.com" TargetMode="External"/><Relationship Id="rId159" Type="http://schemas.openxmlformats.org/officeDocument/2006/relationships/hyperlink" Target="http://www.tritonelectricalinc.com" TargetMode="External"/><Relationship Id="rId154" Type="http://schemas.openxmlformats.org/officeDocument/2006/relationships/hyperlink" Target="https://www.newjersey-electrical.com/electrician-in-hackensack" TargetMode="External"/><Relationship Id="rId275" Type="http://schemas.openxmlformats.org/officeDocument/2006/relationships/hyperlink" Target="https://www.google.com/maps/place/data=!3m1!4b1!4m2!3m1!1s0x89c2f0b0c972eb89:0x47520a24a5062fa1" TargetMode="External"/><Relationship Id="rId396" Type="http://schemas.openxmlformats.org/officeDocument/2006/relationships/hyperlink" Target="https://www.google.com/maps/place/data=!3m1!4b1!4m2!3m1!1s0x89c2f9f7b9b33d47:0xd87505b71e4126c7" TargetMode="External"/><Relationship Id="rId153" Type="http://schemas.openxmlformats.org/officeDocument/2006/relationships/hyperlink" Target="https://www.google.com/maps/place/data=!3m1!4b1!4m2!3m1!1s0x89c2fa1e10ed02a9:0x68372670c05533bd" TargetMode="External"/><Relationship Id="rId274" Type="http://schemas.openxmlformats.org/officeDocument/2006/relationships/hyperlink" Target="https://drkarlnixdorf.com" TargetMode="External"/><Relationship Id="rId395" Type="http://schemas.openxmlformats.org/officeDocument/2006/relationships/hyperlink" Target="http://www.njcriminaldefense.com" TargetMode="External"/><Relationship Id="rId152" Type="http://schemas.openxmlformats.org/officeDocument/2006/relationships/hyperlink" Target="http://www.tonyelectriccompany.com" TargetMode="External"/><Relationship Id="rId273" Type="http://schemas.openxmlformats.org/officeDocument/2006/relationships/hyperlink" Target="https://www.google.com/maps/place/data=!3m1!4b1!4m2!3m1!1s0x89c2f7b177ca96c1:0xc4086c8441343e55" TargetMode="External"/><Relationship Id="rId394" Type="http://schemas.openxmlformats.org/officeDocument/2006/relationships/hyperlink" Target="https://www.google.com/maps/place/data=!3m1!4b1!4m2!3m1!1s0x89c2fa0c9af1b45b:0x4f5ec2f7b20a2133" TargetMode="External"/><Relationship Id="rId151" Type="http://schemas.openxmlformats.org/officeDocument/2006/relationships/hyperlink" Target="https://www.google.com/maps/place/data=!3m1!4b1!4m2!3m1!1s0x89c2f79955555555:0xd8f22485df82790b" TargetMode="External"/><Relationship Id="rId272" Type="http://schemas.openxmlformats.org/officeDocument/2006/relationships/hyperlink" Target="https://www.bergenchiropractic.com" TargetMode="External"/><Relationship Id="rId393" Type="http://schemas.openxmlformats.org/officeDocument/2006/relationships/hyperlink" Target="https://www.dilorenzo-rush.com/?npcmp=dir:local:1208194:07601" TargetMode="External"/><Relationship Id="rId158" Type="http://schemas.openxmlformats.org/officeDocument/2006/relationships/hyperlink" Target="https://www.google.com/maps/place/data=!3m1!4b1!4m2!3m1!1s0x89c2f9ed574f3b6f:0xbfc3466a6716185d" TargetMode="External"/><Relationship Id="rId279" Type="http://schemas.openxmlformats.org/officeDocument/2006/relationships/hyperlink" Target="https://www.google.com/maps/place/data=!3m1!4b1!4m2!3m1!1s0x89c2fa275300dc63:0x79a88099602e005" TargetMode="External"/><Relationship Id="rId157" Type="http://schemas.openxmlformats.org/officeDocument/2006/relationships/hyperlink" Target="http://www.barbaroelectric.com" TargetMode="External"/><Relationship Id="rId278" Type="http://schemas.openxmlformats.org/officeDocument/2006/relationships/hyperlink" Target="http://www.doctorfitness.biz" TargetMode="External"/><Relationship Id="rId399" Type="http://schemas.openxmlformats.org/officeDocument/2006/relationships/hyperlink" Target="https://cjr-law.com" TargetMode="External"/><Relationship Id="rId156" Type="http://schemas.openxmlformats.org/officeDocument/2006/relationships/hyperlink" Target="https://www.google.com/maps/place/data=!3m1!4b1!4m2!3m1!1s0x89c2f64d48d8aef1:0x57caa2a81261b988" TargetMode="External"/><Relationship Id="rId277" Type="http://schemas.openxmlformats.org/officeDocument/2006/relationships/hyperlink" Target="https://www.google.com/maps/place/data=!3m1!4b1!4m2!3m1!1s0x89c2f70d7750bc6d:0x1022d237035d8bad" TargetMode="External"/><Relationship Id="rId398" Type="http://schemas.openxmlformats.org/officeDocument/2006/relationships/hyperlink" Target="https://www.google.com/maps/place/data=!3m1!4b1!4m2!3m1!1s0x89c2f9f70476de17:0x6631c9ac5a1b5e" TargetMode="External"/><Relationship Id="rId155" Type="http://schemas.openxmlformats.org/officeDocument/2006/relationships/hyperlink" Target="https://www.google.com/maps/place/data=!3m1!4b1!4m2!3m1!1s0x89c2f9f5ab120877:0xe6a5966055e022e3" TargetMode="External"/><Relationship Id="rId276" Type="http://schemas.openxmlformats.org/officeDocument/2006/relationships/hyperlink" Target="https://www.google.com/maps/place/data=!3m1!4b1!4m2!3m1!1s0x89c2f70d70aeaaab:0xc96b6fefbe1fb51" TargetMode="External"/><Relationship Id="rId397" Type="http://schemas.openxmlformats.org/officeDocument/2006/relationships/hyperlink" Target="https://www.breslinlawyers.com" TargetMode="External"/><Relationship Id="rId40" Type="http://schemas.openxmlformats.org/officeDocument/2006/relationships/hyperlink" Target="https://www.bzdependable.com" TargetMode="External"/><Relationship Id="rId42" Type="http://schemas.openxmlformats.org/officeDocument/2006/relationships/hyperlink" Target="https://www.waterflowplumbingllc.com" TargetMode="External"/><Relationship Id="rId41" Type="http://schemas.openxmlformats.org/officeDocument/2006/relationships/hyperlink" Target="https://www.google.com/maps/place/data=!3m1!4b1!4m2!3m1!1s0x89c2f093fab32ccd:0x6dbccc72d13e7721" TargetMode="External"/><Relationship Id="rId44" Type="http://schemas.openxmlformats.org/officeDocument/2006/relationships/hyperlink" Target="https://www.triplepplumbingandheating.com" TargetMode="External"/><Relationship Id="rId43" Type="http://schemas.openxmlformats.org/officeDocument/2006/relationships/hyperlink" Target="https://www.google.com/maps/place/data=!3m1!4b1!4m2!3m1!1s0x89c2f7b4e6ce3969:0x3de1b003a7499ca3" TargetMode="External"/><Relationship Id="rId46" Type="http://schemas.openxmlformats.org/officeDocument/2006/relationships/hyperlink" Target="http://drainmanplumbingnj.com" TargetMode="External"/><Relationship Id="rId45" Type="http://schemas.openxmlformats.org/officeDocument/2006/relationships/hyperlink" Target="https://www.google.com/maps/place/data=!3m1!4b1!4m2!3m1!1s0x89c2f9c4ea394d9f:0xa65f853f01ca0835" TargetMode="External"/><Relationship Id="rId48" Type="http://schemas.openxmlformats.org/officeDocument/2006/relationships/hyperlink" Target="https://www.nicksseweranddraincleaningllc.com" TargetMode="External"/><Relationship Id="rId47" Type="http://schemas.openxmlformats.org/officeDocument/2006/relationships/hyperlink" Target="https://www.google.com/maps/place/data=!3m1!4b1!4m2!3m1!1s0x89c2f70e0d350ceb:0xce5d7d8f6d2474a0" TargetMode="External"/><Relationship Id="rId49" Type="http://schemas.openxmlformats.org/officeDocument/2006/relationships/hyperlink" Target="https://www.google.com/maps/place/data=!3m1!4b1!4m2!3m1!1s0x89c2f7e8b3d5bd77:0x917fdce5db3fb37b" TargetMode="External"/><Relationship Id="rId31" Type="http://schemas.openxmlformats.org/officeDocument/2006/relationships/hyperlink" Target="https://www.racsoplumbing.com" TargetMode="External"/><Relationship Id="rId30" Type="http://schemas.openxmlformats.org/officeDocument/2006/relationships/hyperlink" Target="https://www.google.com/maps/place/data=!3m1!4b1!4m2!3m1!1s0x89c2f77a430cdadb:0xefe58dfe1939aae3" TargetMode="External"/><Relationship Id="rId33" Type="http://schemas.openxmlformats.org/officeDocument/2006/relationships/hyperlink" Target="http://www.tpplumbingllc.com" TargetMode="External"/><Relationship Id="rId32" Type="http://schemas.openxmlformats.org/officeDocument/2006/relationships/hyperlink" Target="https://www.google.com/maps/place/data=!3m1!4b1!4m2!3m1!1s0x89c2f764889f383f:0xf3a72dbe3a610bb8" TargetMode="External"/><Relationship Id="rId35" Type="http://schemas.openxmlformats.org/officeDocument/2006/relationships/hyperlink" Target="https://www.google.com/maps/place/data=!3m1!4b1!4m2!3m1!1s0x89c2590133a498d9:0xa9d5e3101198184f" TargetMode="External"/><Relationship Id="rId34" Type="http://schemas.openxmlformats.org/officeDocument/2006/relationships/hyperlink" Target="https://www.google.com/maps/place/data=!3m1!4b1!4m2!3m1!1s0x89c2f75d1b950ebd:0xb151a23f232f26f6" TargetMode="External"/><Relationship Id="rId37" Type="http://schemas.openxmlformats.org/officeDocument/2006/relationships/hyperlink" Target="https://www.google.com/maps/place/data=!3m1!4b1!4m2!3m1!1s0x89c2f7a564790e35:0xa391f8a304cfb05b" TargetMode="External"/><Relationship Id="rId36" Type="http://schemas.openxmlformats.org/officeDocument/2006/relationships/hyperlink" Target="https://schaafplumbing.com" TargetMode="External"/><Relationship Id="rId39" Type="http://schemas.openxmlformats.org/officeDocument/2006/relationships/hyperlink" Target="https://www.google.com/maps/place/data=!3m1!4b1!4m2!3m1!1s0x89c2f7c759205b21:0x6020e4f1be8f2e46" TargetMode="External"/><Relationship Id="rId38" Type="http://schemas.openxmlformats.org/officeDocument/2006/relationships/hyperlink" Target="http://perfectplumbingnj.com" TargetMode="External"/><Relationship Id="rId20" Type="http://schemas.openxmlformats.org/officeDocument/2006/relationships/hyperlink" Target="https://supercoolingandheatingllc.net" TargetMode="External"/><Relationship Id="rId22" Type="http://schemas.openxmlformats.org/officeDocument/2006/relationships/hyperlink" Target="http://www.completehvacnj.com" TargetMode="External"/><Relationship Id="rId21" Type="http://schemas.openxmlformats.org/officeDocument/2006/relationships/hyperlink" Target="https://www.google.com/maps/place/data=!3m1!4b1!4m2!3m1!1s0x89c2ffb700efc7bd:0x6a94f760faabcb8f" TargetMode="External"/><Relationship Id="rId24" Type="http://schemas.openxmlformats.org/officeDocument/2006/relationships/hyperlink" Target="https://expertductcleaning.com" TargetMode="External"/><Relationship Id="rId23" Type="http://schemas.openxmlformats.org/officeDocument/2006/relationships/hyperlink" Target="https://www.google.com/maps/place/data=!3m1!4b1!4m2!3m1!1s0x89c2f96df5224be9:0x741016b2f2610650" TargetMode="External"/><Relationship Id="rId409" Type="http://schemas.openxmlformats.org/officeDocument/2006/relationships/hyperlink" Target="https://www.google.com/maps/place/data=!3m1!4b1!4m2!3m1!1s0x89c2f70b8966c50d:0x4434397362f842f4" TargetMode="External"/><Relationship Id="rId404" Type="http://schemas.openxmlformats.org/officeDocument/2006/relationships/hyperlink" Target="https://www.google.com/maps/place/data=!3m1!4b1!4m2!3m1!1s0x89c2f9f6c1c38fc7:0x5c9c2c9471ddd67c" TargetMode="External"/><Relationship Id="rId403" Type="http://schemas.openxmlformats.org/officeDocument/2006/relationships/hyperlink" Target="http://pashmanstein.com" TargetMode="External"/><Relationship Id="rId402" Type="http://schemas.openxmlformats.org/officeDocument/2006/relationships/hyperlink" Target="https://www.google.com/maps/place/data=!3m1!4b1!4m2!3m1!1s0x89c2f0aff77e0bd3:0x2b5b6820fb5cfd15" TargetMode="External"/><Relationship Id="rId401" Type="http://schemas.openxmlformats.org/officeDocument/2006/relationships/hyperlink" Target="https://www.dsslaw.com/teaneck" TargetMode="External"/><Relationship Id="rId408" Type="http://schemas.openxmlformats.org/officeDocument/2006/relationships/hyperlink" Target="https://www.google.com/maps/place/data=!3m1!4b1!4m2!3m1!1s0x89c2f6deeef7477d:0x9d374d7e1f13c06" TargetMode="External"/><Relationship Id="rId407" Type="http://schemas.openxmlformats.org/officeDocument/2006/relationships/hyperlink" Target="https://www.parkcaporrino.com" TargetMode="External"/><Relationship Id="rId406" Type="http://schemas.openxmlformats.org/officeDocument/2006/relationships/hyperlink" Target="https://www.google.com/maps/place/data=!3m1!4b1!4m2!3m1!1s0x89c2f761c4fcd1d5:0x5dc02fd5e6673c28" TargetMode="External"/><Relationship Id="rId405" Type="http://schemas.openxmlformats.org/officeDocument/2006/relationships/hyperlink" Target="http://boggialaw.com/pmb.html" TargetMode="External"/><Relationship Id="rId26" Type="http://schemas.openxmlformats.org/officeDocument/2006/relationships/hyperlink" Target="https://www.google.com/maps/place/data=!3m1!4b1!4m2!3m1!1s0x89c2f90ef371b655:0xd1a40ad9fb69acd" TargetMode="External"/><Relationship Id="rId25" Type="http://schemas.openxmlformats.org/officeDocument/2006/relationships/hyperlink" Target="https://www.google.com/maps/place/data=!3m1!4b1!4m2!3m1!1s0x89c23a29793c74b9:0xe3865f3aff7f7797" TargetMode="External"/><Relationship Id="rId28" Type="http://schemas.openxmlformats.org/officeDocument/2006/relationships/hyperlink" Target="https://www.google.com/maps/place/data=!3m1!4b1!4m2!3m1!1s0x89c2f9397bf23e2d:0xc755ec8c26f3cf13" TargetMode="External"/><Relationship Id="rId27" Type="http://schemas.openxmlformats.org/officeDocument/2006/relationships/hyperlink" Target="https://heatingpro.ueniweb.com" TargetMode="External"/><Relationship Id="rId400" Type="http://schemas.openxmlformats.org/officeDocument/2006/relationships/hyperlink" Target="https://www.google.com/maps/place/data=!3m1!4b1!4m2!3m1!1s0x89c2f9f6bdf34b55:0x5c91e232cce8b789" TargetMode="External"/><Relationship Id="rId29" Type="http://schemas.openxmlformats.org/officeDocument/2006/relationships/hyperlink" Target="https://www.racsoplumbing.com" TargetMode="External"/><Relationship Id="rId11" Type="http://schemas.openxmlformats.org/officeDocument/2006/relationships/hyperlink" Target="https://www.rtraupmannhvac.com" TargetMode="External"/><Relationship Id="rId10" Type="http://schemas.openxmlformats.org/officeDocument/2006/relationships/hyperlink" Target="https://www.google.com/maps/place/data=!3m1!4b1!4m2!3m1!1s0x89c2f98bb67fe027:0x70612d0f1c03f50d" TargetMode="External"/><Relationship Id="rId13" Type="http://schemas.openxmlformats.org/officeDocument/2006/relationships/hyperlink" Target="https://www.google.com/maps/place/data=!3m1!4b1!4m2!3m1!1s0x89c2f950b6720379:0x470dc4f05d1f7c7b" TargetMode="External"/><Relationship Id="rId12" Type="http://schemas.openxmlformats.org/officeDocument/2006/relationships/hyperlink" Target="https://www.google.com/maps/place/data=!3m1!4b1!4m2!3m1!1s0x89c2f94b2cb4f789:0x5a473db345984cd0" TargetMode="External"/><Relationship Id="rId15" Type="http://schemas.openxmlformats.org/officeDocument/2006/relationships/hyperlink" Target="https://www.google.com/maps/place/data=!3m1!4b1!4m2!3m1!1s0x89c2faac9633339d:0x68f5b7a1029befaa" TargetMode="External"/><Relationship Id="rId14" Type="http://schemas.openxmlformats.org/officeDocument/2006/relationships/hyperlink" Target="http://allweekplumbing.com" TargetMode="External"/><Relationship Id="rId17" Type="http://schemas.openxmlformats.org/officeDocument/2006/relationships/hyperlink" Target="https://www.google.com/maps/place/data=!3m1!4b1!4m2!3m1!1s0x89c2fed28e83ab29:0xc3a7b1ddcfd6245a" TargetMode="External"/><Relationship Id="rId16" Type="http://schemas.openxmlformats.org/officeDocument/2006/relationships/hyperlink" Target="http://tcmhvac.com" TargetMode="External"/><Relationship Id="rId19" Type="http://schemas.openxmlformats.org/officeDocument/2006/relationships/hyperlink" Target="https://www.google.com/maps/place/data=!3m1!4b1!4m2!3m1!1s0x89c2fea418a42b61:0x54deabc529b691d9" TargetMode="External"/><Relationship Id="rId18" Type="http://schemas.openxmlformats.org/officeDocument/2006/relationships/hyperlink" Target="https://plumbingheatingcoolingnj.com/service-area/clifton-nj-plumber-heating-air-conditioning-service-repair-installation" TargetMode="External"/><Relationship Id="rId84" Type="http://schemas.openxmlformats.org/officeDocument/2006/relationships/hyperlink" Target="https://www.google.com/maps/place/data=!3m1!4b1!4m2!3m1!1s0x89c2f7c6f87f434b:0xb4630424cca48cd1" TargetMode="External"/><Relationship Id="rId83" Type="http://schemas.openxmlformats.org/officeDocument/2006/relationships/hyperlink" Target="https://www.google.com/maps/place/data=!3m1!4b1!4m2!3m1!1s0x89c2f9fce97c97a7:0xd2f55d95236fdbae" TargetMode="External"/><Relationship Id="rId86" Type="http://schemas.openxmlformats.org/officeDocument/2006/relationships/hyperlink" Target="https://www.google.com/maps/place/data=!3m1!4b1!4m2!3m1!1s0x89c2f0baadff1a67:0xec842ee5e132ce61" TargetMode="External"/><Relationship Id="rId85" Type="http://schemas.openxmlformats.org/officeDocument/2006/relationships/hyperlink" Target="http://mulderplumbing.com" TargetMode="External"/><Relationship Id="rId88" Type="http://schemas.openxmlformats.org/officeDocument/2006/relationships/hyperlink" Target="https://www.google.com/maps/place/data=!3m1!4b1!4m2!3m1!1s0x89c2f7ad57f24465:0xcaff19e0b188927c" TargetMode="External"/><Relationship Id="rId87" Type="http://schemas.openxmlformats.org/officeDocument/2006/relationships/hyperlink" Target="http://www.econoplumbingandheating.com" TargetMode="External"/><Relationship Id="rId89" Type="http://schemas.openxmlformats.org/officeDocument/2006/relationships/hyperlink" Target="https://cityplumbersnj.com/city-plumbers-heating-air-conditioning-drain-cleaning-in-englewood-new-jersey" TargetMode="External"/><Relationship Id="rId80" Type="http://schemas.openxmlformats.org/officeDocument/2006/relationships/hyperlink" Target="https://mucciaplumbing.com/residential-services" TargetMode="External"/><Relationship Id="rId82" Type="http://schemas.openxmlformats.org/officeDocument/2006/relationships/hyperlink" Target="https://www.google.com/maps/place/data=!3m1!4b1!4m2!3m1!1s0x89c2fa71b003ea11:0xc4a17ed516535881" TargetMode="External"/><Relationship Id="rId81" Type="http://schemas.openxmlformats.org/officeDocument/2006/relationships/hyperlink" Target="https://www.google.com/maps/place/data=!3m1!4b1!4m2!3m1!1s0x89c2fa0efc8ca48f:0x111570649971b381" TargetMode="External"/><Relationship Id="rId73" Type="http://schemas.openxmlformats.org/officeDocument/2006/relationships/hyperlink" Target="https://www.google.com/maps/place/data=!3m1!4b1!4m2!3m1!1s0x89c2f9d4e054febf:0xaf48476537bd29a0" TargetMode="External"/><Relationship Id="rId72" Type="http://schemas.openxmlformats.org/officeDocument/2006/relationships/hyperlink" Target="https://www.google.com/maps/place/data=!3m1!4b1!4m2!3m1!1s0x89c2f994e8286353:0x33b5684c4d36abcc" TargetMode="External"/><Relationship Id="rId75" Type="http://schemas.openxmlformats.org/officeDocument/2006/relationships/hyperlink" Target="https://www.google.com/maps/place/data=!3m1!4b1!4m2!3m1!1s0x89c2f9a1464153f5:0x670f15dfe6c1b4b7" TargetMode="External"/><Relationship Id="rId74" Type="http://schemas.openxmlformats.org/officeDocument/2006/relationships/hyperlink" Target="https://www.royalrooterdraincleaning.com" TargetMode="External"/><Relationship Id="rId77" Type="http://schemas.openxmlformats.org/officeDocument/2006/relationships/hyperlink" Target="https://www.google.com/maps/place/data=!3m1!4b1!4m2!3m1!1s0x89c2f909076c7987:0x42138317c2bdb23c" TargetMode="External"/><Relationship Id="rId76" Type="http://schemas.openxmlformats.org/officeDocument/2006/relationships/hyperlink" Target="https://pepeplumbinginc.com" TargetMode="External"/><Relationship Id="rId79" Type="http://schemas.openxmlformats.org/officeDocument/2006/relationships/hyperlink" Target="https://www.google.com/maps/place/data=!3m1!4b1!4m2!3m1!1s0x89c2f0a5f70e016d:0xa742dc4b3eeb520c" TargetMode="External"/><Relationship Id="rId78" Type="http://schemas.openxmlformats.org/officeDocument/2006/relationships/hyperlink" Target="http://teaneckplumbingheatingcoolingnj.com" TargetMode="External"/><Relationship Id="rId71" Type="http://schemas.openxmlformats.org/officeDocument/2006/relationships/hyperlink" Target="https://rooterexpertsdraincleaning.com" TargetMode="External"/><Relationship Id="rId70" Type="http://schemas.openxmlformats.org/officeDocument/2006/relationships/hyperlink" Target="https://www.google.com/maps/place/data=!3m1!4b1!4m2!3m1!1s0x89c2f754ef37cacd:0xa5223965ce591903" TargetMode="External"/><Relationship Id="rId62" Type="http://schemas.openxmlformats.org/officeDocument/2006/relationships/hyperlink" Target="https://www.google.com/maps/place/data=!3m1!4b1!4m2!3m1!1s0x89c2f74e4a7c7f51:0xeab5f1c0217d96ee" TargetMode="External"/><Relationship Id="rId61" Type="http://schemas.openxmlformats.org/officeDocument/2006/relationships/hyperlink" Target="https://www.google.com/maps/place/data=!3m1!4b1!4m2!3m1!1s0x89c2f9d80d75d3cb:0x142d23a022a630b9" TargetMode="External"/><Relationship Id="rId64" Type="http://schemas.openxmlformats.org/officeDocument/2006/relationships/hyperlink" Target="http://allweekplumbing.com/heating-little-ferry-nj.html" TargetMode="External"/><Relationship Id="rId63" Type="http://schemas.openxmlformats.org/officeDocument/2006/relationships/hyperlink" Target="https://www.google.com/maps/place/data=!3m1!4b1!4m2!3m1!1s0x89c2f764acda1069:0xbaf22a88e1a6c" TargetMode="External"/><Relationship Id="rId66" Type="http://schemas.openxmlformats.org/officeDocument/2006/relationships/hyperlink" Target="https://firstchoicenj.com" TargetMode="External"/><Relationship Id="rId65" Type="http://schemas.openxmlformats.org/officeDocument/2006/relationships/hyperlink" Target="https://www.google.com/maps/place/data=!3m1!4b1!4m2!3m1!1s0x89c2f94fc7c3fa71:0xb958257c03dabb37" TargetMode="External"/><Relationship Id="rId68" Type="http://schemas.openxmlformats.org/officeDocument/2006/relationships/hyperlink" Target="https://toledoplumbingandheating.com" TargetMode="External"/><Relationship Id="rId67" Type="http://schemas.openxmlformats.org/officeDocument/2006/relationships/hyperlink" Target="https://www.google.com/maps/place/data=!3m1!4b1!4m2!3m1!1s0x89c2f9089b4bb4a5:0x8eaeb1ad353e1bea" TargetMode="External"/><Relationship Id="rId60" Type="http://schemas.openxmlformats.org/officeDocument/2006/relationships/hyperlink" Target="https://lentheplumber.com/new-jersey-area/russo-bros-serving-passaic-county" TargetMode="External"/><Relationship Id="rId69" Type="http://schemas.openxmlformats.org/officeDocument/2006/relationships/hyperlink" Target="https://www.google.com/maps/place/data=!3m1!4b1!4m2!3m1!1s0x89c25602f2a350a1:0x9d670a76febd3cb" TargetMode="External"/><Relationship Id="rId51" Type="http://schemas.openxmlformats.org/officeDocument/2006/relationships/hyperlink" Target="https://www.google.com/maps/place/data=!3m1!4b1!4m2!3m1!1s0x89c2f7aca4875b93:0x533b56f24cf93940" TargetMode="External"/><Relationship Id="rId50" Type="http://schemas.openxmlformats.org/officeDocument/2006/relationships/hyperlink" Target="http://www.morinplumbing.com" TargetMode="External"/><Relationship Id="rId53" Type="http://schemas.openxmlformats.org/officeDocument/2006/relationships/hyperlink" Target="https://www.google.com/maps/place/data=!3m1!4b1!4m2!3m1!1s0xa8f26054ebe0c015:0x13e82931acd8194c" TargetMode="External"/><Relationship Id="rId52" Type="http://schemas.openxmlformats.org/officeDocument/2006/relationships/hyperlink" Target="http://njplumbingandheatingguys.com" TargetMode="External"/><Relationship Id="rId55" Type="http://schemas.openxmlformats.org/officeDocument/2006/relationships/hyperlink" Target="https://www.google.com/maps/place/data=!3m1!4b1!4m2!3m1!1s0x89c2f97e7b494e39:0x6aa4d15f18e326d3" TargetMode="External"/><Relationship Id="rId54" Type="http://schemas.openxmlformats.org/officeDocument/2006/relationships/hyperlink" Target="https://bluesky-plumbing.com/plumbing-services-in-little-ferry-nj" TargetMode="External"/><Relationship Id="rId57" Type="http://schemas.openxmlformats.org/officeDocument/2006/relationships/hyperlink" Target="https://www.google.com/maps/place/data=!3m1!4b1!4m2!3m1!1s0x89c2f76ad3573be7:0x5d1894374ffdac84" TargetMode="External"/><Relationship Id="rId56" Type="http://schemas.openxmlformats.org/officeDocument/2006/relationships/hyperlink" Target="https://www.bogotaplumbernj.com" TargetMode="External"/><Relationship Id="rId59" Type="http://schemas.openxmlformats.org/officeDocument/2006/relationships/hyperlink" Target="https://www.google.com/maps/place/data=!3m1!4b1!4m2!3m1!1s0x89c2f9b70cf26587:0x4275daad443a9bb4" TargetMode="External"/><Relationship Id="rId58" Type="http://schemas.openxmlformats.org/officeDocument/2006/relationships/hyperlink" Target="https://cityplumbersnj.com/city-plumbing-heating-air-condtioning-drain-service-in-moonachie-new-jersey" TargetMode="External"/><Relationship Id="rId107" Type="http://schemas.openxmlformats.org/officeDocument/2006/relationships/hyperlink" Target="https://www.google.com/maps/place/data=!3m1!4b1!4m2!3m1!1s0x89c2f90a0fe3957f:0x1f4f66c8ba6764a" TargetMode="External"/><Relationship Id="rId228" Type="http://schemas.openxmlformats.org/officeDocument/2006/relationships/hyperlink" Target="http://bigsmiles.com" TargetMode="External"/><Relationship Id="rId349" Type="http://schemas.openxmlformats.org/officeDocument/2006/relationships/hyperlink" Target="https://www.google.com/maps/place/data=!3m1!4b1!4m2!3m1!1s0x89c2f789e8d217eb:0x8d79c020282f4d32" TargetMode="External"/><Relationship Id="rId106" Type="http://schemas.openxmlformats.org/officeDocument/2006/relationships/hyperlink" Target="https://www.google.com/maps/place/data=!3m1!4b1!4m2!3m1!1s0x89c2f9214b217805:0x9b95d61fb9f1422e" TargetMode="External"/><Relationship Id="rId227" Type="http://schemas.openxmlformats.org/officeDocument/2006/relationships/hyperlink" Target="https://www.google.com/maps/place/data=!3m1!4b1!4m2!3m1!1s0x89c2f710f8c36c25:0xaa90b06c94b9e4e7" TargetMode="External"/><Relationship Id="rId348" Type="http://schemas.openxmlformats.org/officeDocument/2006/relationships/hyperlink" Target="http://www.globalrealestate.realtor" TargetMode="External"/><Relationship Id="rId105" Type="http://schemas.openxmlformats.org/officeDocument/2006/relationships/hyperlink" Target="https://lodiplumbingheating.com" TargetMode="External"/><Relationship Id="rId226" Type="http://schemas.openxmlformats.org/officeDocument/2006/relationships/hyperlink" Target="https://www.google.com/maps/place/data=!3m1!4b1!4m2!3m1!1s0x89c2f0c7f2a0be91:0x56cd9888bead5429" TargetMode="External"/><Relationship Id="rId347" Type="http://schemas.openxmlformats.org/officeDocument/2006/relationships/hyperlink" Target="https://www.google.com/maps/place/data=!3m1!4b1!4m2!3m1!1s0x89c2f7c9cf1a5dd3:0x8c30cb83e557acfc" TargetMode="External"/><Relationship Id="rId104" Type="http://schemas.openxmlformats.org/officeDocument/2006/relationships/hyperlink" Target="https://www.google.com/maps/place/data=!3m1!4b1!4m2!3m1!1s0x25b5e8803e49fdd1:0xa8f973985e3a52a7" TargetMode="External"/><Relationship Id="rId225" Type="http://schemas.openxmlformats.org/officeDocument/2006/relationships/hyperlink" Target="http://thedentistsllc.com" TargetMode="External"/><Relationship Id="rId346" Type="http://schemas.openxmlformats.org/officeDocument/2006/relationships/hyperlink" Target="https://www.google.com/maps/place/data=!3m1!4b1!4m2!3m1!1s0x89c2f7b8aa6aec21:0x62b430d3aa485622" TargetMode="External"/><Relationship Id="rId109" Type="http://schemas.openxmlformats.org/officeDocument/2006/relationships/hyperlink" Target="http://super-electrical-crew.com/Ridgefield-Park" TargetMode="External"/><Relationship Id="rId108" Type="http://schemas.openxmlformats.org/officeDocument/2006/relationships/hyperlink" Target="https://www.google.com/maps/place/data=!3m1!4b1!4m2!3m1!1s0x89c2f76036815555:0x39ae8687354bb79d" TargetMode="External"/><Relationship Id="rId229" Type="http://schemas.openxmlformats.org/officeDocument/2006/relationships/hyperlink" Target="https://www.google.com/maps/place/data=!3m1!4b1!4m2!3m1!1s0x89c2f7a54417d6ed:0xb27706df0ed6981d" TargetMode="External"/><Relationship Id="rId220" Type="http://schemas.openxmlformats.org/officeDocument/2006/relationships/hyperlink" Target="http://www.edentalnj.com" TargetMode="External"/><Relationship Id="rId341" Type="http://schemas.openxmlformats.org/officeDocument/2006/relationships/hyperlink" Target="https://www.google.com/maps/place/data=!3m1!4b1!4m2!3m1!1s0x2307f9d41cf9bd9f:0x9de4c5879070ede6" TargetMode="External"/><Relationship Id="rId462" Type="http://schemas.openxmlformats.org/officeDocument/2006/relationships/hyperlink" Target="https://www.google.com/maps/place/data=!3m1!4b1!4m2!3m1!1s0x89c2f7b874efff45:0x56bd3b670c95ce4c" TargetMode="External"/><Relationship Id="rId340" Type="http://schemas.openxmlformats.org/officeDocument/2006/relationships/hyperlink" Target="https://homechannel.tistory.com" TargetMode="External"/><Relationship Id="rId461" Type="http://schemas.openxmlformats.org/officeDocument/2006/relationships/hyperlink" Target="https://www.google.com/maps/place/data=!3m1!4b1!4m2!3m1!1s0x89c2f7d89e53827d:0x639e12f4be851c97" TargetMode="External"/><Relationship Id="rId460" Type="http://schemas.openxmlformats.org/officeDocument/2006/relationships/hyperlink" Target="http://www.pkautocare.com" TargetMode="External"/><Relationship Id="rId103" Type="http://schemas.openxmlformats.org/officeDocument/2006/relationships/hyperlink" Target="https://www.fccomfort.com" TargetMode="External"/><Relationship Id="rId224" Type="http://schemas.openxmlformats.org/officeDocument/2006/relationships/hyperlink" Target="https://www.google.com/maps/place/data=!3m1!4b1!4m2!3m1!1s0x89c2f711b751b24d:0x6385d7de725bad46" TargetMode="External"/><Relationship Id="rId345" Type="http://schemas.openxmlformats.org/officeDocument/2006/relationships/hyperlink" Target="https://www.google.com/maps/place/data=!3m1!4b1!4m2!3m1!1s0x89c2f71607434995:0x75b1e8534c2a33af" TargetMode="External"/><Relationship Id="rId466" Type="http://schemas.openxmlformats.org/officeDocument/2006/relationships/drawing" Target="../drawings/drawing3.xml"/><Relationship Id="rId102" Type="http://schemas.openxmlformats.org/officeDocument/2006/relationships/hyperlink" Target="https://www.google.com/maps/place/data=!3m1!4b1!4m2!3m1!1s0x89c2fb4dd74e8da5:0xfc661d7f1761f184" TargetMode="External"/><Relationship Id="rId223" Type="http://schemas.openxmlformats.org/officeDocument/2006/relationships/hyperlink" Target="https://www.google.com/maps/place/data=!3m1!4b1!4m2!3m1!1s0x89c2f9f40868b52b:0x5e28bca1853cc8a6" TargetMode="External"/><Relationship Id="rId344" Type="http://schemas.openxmlformats.org/officeDocument/2006/relationships/hyperlink" Target="https://www.njjip.com" TargetMode="External"/><Relationship Id="rId465" Type="http://schemas.openxmlformats.org/officeDocument/2006/relationships/hyperlink" Target="https://www.google.com/maps/place/data=!3m1!4b1!4m2!3m1!1s0x89c2f9e217c476d1:0xec76b7e9be5ab27c" TargetMode="External"/><Relationship Id="rId101" Type="http://schemas.openxmlformats.org/officeDocument/2006/relationships/hyperlink" Target="https://cityplumbersnj.com/city-plumbing-heating-air-conditioning-service-in-hackensack-new-jersey" TargetMode="External"/><Relationship Id="rId222" Type="http://schemas.openxmlformats.org/officeDocument/2006/relationships/hyperlink" Target="https://www.vallejofamilydental.com" TargetMode="External"/><Relationship Id="rId343" Type="http://schemas.openxmlformats.org/officeDocument/2006/relationships/hyperlink" Target="https://www.google.com/maps/place/data=!3m1!4b1!4m2!3m1!1s0x89c2f18aebb9e121:0xe8aac36b83a483c2" TargetMode="External"/><Relationship Id="rId464" Type="http://schemas.openxmlformats.org/officeDocument/2006/relationships/hyperlink" Target="https://www.google.com/maps/place/data=!3m1!4b1!4m2!3m1!1s0x89c2f7adf45118fb:0x1d14be7534056760" TargetMode="External"/><Relationship Id="rId100" Type="http://schemas.openxmlformats.org/officeDocument/2006/relationships/hyperlink" Target="https://www.google.com/maps/place/data=!3m1!4b1!4m2!3m1!1s0x89c2f9f632c161f1:0x683418d4d5c644a1" TargetMode="External"/><Relationship Id="rId221" Type="http://schemas.openxmlformats.org/officeDocument/2006/relationships/hyperlink" Target="https://www.google.com/maps/place/data=!3m1!4b1!4m2!3m1!1s0x89c2f79ee0187cf7:0xf8292c6979aaf195" TargetMode="External"/><Relationship Id="rId342" Type="http://schemas.openxmlformats.org/officeDocument/2006/relationships/hyperlink" Target="https://www.google.com/maps/place/data=!3m1!4b1!4m2!3m1!1s0x89c2f703892dcd01:0xbba47c62fd533221" TargetMode="External"/><Relationship Id="rId463" Type="http://schemas.openxmlformats.org/officeDocument/2006/relationships/hyperlink" Target="https://bovansautoservices.com" TargetMode="External"/><Relationship Id="rId217" Type="http://schemas.openxmlformats.org/officeDocument/2006/relationships/hyperlink" Target="https://www.google.com/maps/place/data=!3m1!4b1!4m2!3m1!1s0x89c2f9d2774b0513:0xb90d0f6419bd1e4f" TargetMode="External"/><Relationship Id="rId338" Type="http://schemas.openxmlformats.org/officeDocument/2006/relationships/hyperlink" Target="https://www.century21.com/real-estate/cliffside-park-nj/LCNJCLIFFSIDEPARK" TargetMode="External"/><Relationship Id="rId459" Type="http://schemas.openxmlformats.org/officeDocument/2006/relationships/hyperlink" Target="https://www.google.com/maps/place/data=!3m1!4b1!4m2!3m1!1s0x89c2f9cd6eabc697:0x7540cb955cb36fac" TargetMode="External"/><Relationship Id="rId216" Type="http://schemas.openxmlformats.org/officeDocument/2006/relationships/hyperlink" Target="https://littleferrysmiles.com" TargetMode="External"/><Relationship Id="rId337" Type="http://schemas.openxmlformats.org/officeDocument/2006/relationships/hyperlink" Target="https://www.google.com/maps/place/data=!3m1!4b1!4m2!3m1!1s0x89c2f7b1fecb6a8b:0x240b602ae9443f0e" TargetMode="External"/><Relationship Id="rId458" Type="http://schemas.openxmlformats.org/officeDocument/2006/relationships/hyperlink" Target="https://www.google.com/maps/place/data=!3m1!4b1!4m2!3m1!1s0x89c257ded179b00b:0xb97f4b5291761756" TargetMode="External"/><Relationship Id="rId215" Type="http://schemas.openxmlformats.org/officeDocument/2006/relationships/hyperlink" Target="https://www.google.com/maps/place/data=!3m1!4b1!4m2!3m1!1s0x89c2f761426c0001:0xe1c4b00d10514c92" TargetMode="External"/><Relationship Id="rId336" Type="http://schemas.openxmlformats.org/officeDocument/2006/relationships/hyperlink" Target="https://www.google.com/maps/place/data=!3m1!4b1!4m2!3m1!1s0x89c2f79f1ab3ee8f:0xcf517b0075e5b504" TargetMode="External"/><Relationship Id="rId457" Type="http://schemas.openxmlformats.org/officeDocument/2006/relationships/hyperlink" Target="https://www.google.com/maps/place/data=!3m1!4b1!4m2!3m1!1s0x89c2f9e455901ff5:0x11602f7e266ef66e" TargetMode="External"/><Relationship Id="rId214" Type="http://schemas.openxmlformats.org/officeDocument/2006/relationships/hyperlink" Target="https://www.google.com/maps/place/data=!3m1!4b1!4m2!3m1!1s0x89c2f0ec67228e73:0xf88077d3c4486158" TargetMode="External"/><Relationship Id="rId335" Type="http://schemas.openxmlformats.org/officeDocument/2006/relationships/hyperlink" Target="https://www.google.com/maps/place/data=!3m1!4b1!4m2!3m1!1s0x89c2f70ce94560e1:0xbb3819a9e7fec4a" TargetMode="External"/><Relationship Id="rId456" Type="http://schemas.openxmlformats.org/officeDocument/2006/relationships/hyperlink" Target="http://www.hackensackspring.com" TargetMode="External"/><Relationship Id="rId219" Type="http://schemas.openxmlformats.org/officeDocument/2006/relationships/hyperlink" Target="https://www.google.com/maps/place/data=!3m1!4b1!4m2!3m1!1s0x89c2f9d271ccefd3:0x3ee62874562d75a4" TargetMode="External"/><Relationship Id="rId218" Type="http://schemas.openxmlformats.org/officeDocument/2006/relationships/hyperlink" Target="http://www.littleferrysmiles.com" TargetMode="External"/><Relationship Id="rId339" Type="http://schemas.openxmlformats.org/officeDocument/2006/relationships/hyperlink" Target="https://www.google.com/maps/place/data=!3m1!4b1!4m2!3m1!1s0x89c2f7c821457ca5:0xe661bb938fb227e1" TargetMode="External"/><Relationship Id="rId330" Type="http://schemas.openxmlformats.org/officeDocument/2006/relationships/hyperlink" Target="http://www.synergyrealtorsgroup.com" TargetMode="External"/><Relationship Id="rId451" Type="http://schemas.openxmlformats.org/officeDocument/2006/relationships/hyperlink" Target="https://www.google.com/maps/place/data=!3m1!4b1!4m2!3m1!1s0x89c2f7ff8bbececf:0xbfa1b8731aa56d37" TargetMode="External"/><Relationship Id="rId450" Type="http://schemas.openxmlformats.org/officeDocument/2006/relationships/hyperlink" Target="https://www.google.com/maps/place/data=!3m1!4b1!4m2!3m1!1s0x89c2f716827b21d9:0xcbdc1ca080d5518a" TargetMode="External"/><Relationship Id="rId213" Type="http://schemas.openxmlformats.org/officeDocument/2006/relationships/hyperlink" Target="https://www.teaneck-dentist.com" TargetMode="External"/><Relationship Id="rId334" Type="http://schemas.openxmlformats.org/officeDocument/2006/relationships/hyperlink" Target="https://www.youngstarrealty.com" TargetMode="External"/><Relationship Id="rId455" Type="http://schemas.openxmlformats.org/officeDocument/2006/relationships/hyperlink" Target="https://www.google.com/maps/place/data=!3m1!4b1!4m2!3m1!1s0x89c2f9e02cba8e99:0x7a15fd8fe2615ab5" TargetMode="External"/><Relationship Id="rId212" Type="http://schemas.openxmlformats.org/officeDocument/2006/relationships/hyperlink" Target="https://www.google.com/maps/place/data=!3m1!4b1!4m2!3m1!1s0x8b04369e2f9ba835:0xb82d1df656b1b8fe" TargetMode="External"/><Relationship Id="rId333" Type="http://schemas.openxmlformats.org/officeDocument/2006/relationships/hyperlink" Target="https://www.google.com/maps/place/data=!3m1!4b1!4m2!3m1!1s0x89c2f711b2fbe607:0x781a31cfad7d0a53" TargetMode="External"/><Relationship Id="rId454" Type="http://schemas.openxmlformats.org/officeDocument/2006/relationships/hyperlink" Target="https://www.google.com/maps/place/data=!3m1!4b1!4m2!3m1!1s0x89c2f7a90479a7db:0x23527b6160d30913" TargetMode="External"/><Relationship Id="rId211" Type="http://schemas.openxmlformats.org/officeDocument/2006/relationships/hyperlink" Target="http://www.smiledentalst.com" TargetMode="External"/><Relationship Id="rId332" Type="http://schemas.openxmlformats.org/officeDocument/2006/relationships/hyperlink" Target="http://www.cosmorealty.com" TargetMode="External"/><Relationship Id="rId453" Type="http://schemas.openxmlformats.org/officeDocument/2006/relationships/hyperlink" Target="https://www.google.com/maps/place/data=!3m1!4b1!4m2!3m1!1s0x89c2fa0f847c8a9b:0xeeb4b49d1522ca61" TargetMode="External"/><Relationship Id="rId210" Type="http://schemas.openxmlformats.org/officeDocument/2006/relationships/hyperlink" Target="https://www.google.com/maps/place/data=!3m1!4b1!4m2!3m1!1s0x89c2fa102793c807:0x63e560fce1b64db6" TargetMode="External"/><Relationship Id="rId331" Type="http://schemas.openxmlformats.org/officeDocument/2006/relationships/hyperlink" Target="https://www.google.com/maps/place/data=!3m1!4b1!4m2!3m1!1s0x89c2f7df67d48e8f:0x22cca73713bc2d13" TargetMode="External"/><Relationship Id="rId452" Type="http://schemas.openxmlformats.org/officeDocument/2006/relationships/hyperlink" Target="http://www.proautocenter55.com" TargetMode="External"/><Relationship Id="rId370" Type="http://schemas.openxmlformats.org/officeDocument/2006/relationships/hyperlink" Target="https://www.google.com/maps/place/data=!3m1!4b1!4m2!3m1!1s0x89c253782dbf2383:0xb9a25081c91c4186" TargetMode="External"/><Relationship Id="rId129" Type="http://schemas.openxmlformats.org/officeDocument/2006/relationships/hyperlink" Target="https://www.google.com/maps/place/data=!3m1!4b1!4m2!3m1!1s0x89c2f7bd832d3e11:0xee21b4c2701f6232" TargetMode="External"/><Relationship Id="rId128" Type="http://schemas.openxmlformats.org/officeDocument/2006/relationships/hyperlink" Target="http://localtrustedelectricians.com/Fairview" TargetMode="External"/><Relationship Id="rId249" Type="http://schemas.openxmlformats.org/officeDocument/2006/relationships/hyperlink" Target="https://www.google.com/maps/place/data=!3m1!4b1!4m2!3m1!1s0x89c2f7ade8ddb465:0x6fa3a8fd7049508e" TargetMode="External"/><Relationship Id="rId127" Type="http://schemas.openxmlformats.org/officeDocument/2006/relationships/hyperlink" Target="https://www.google.com/maps/place/data=!3m1!4b1!4m2!3m1!1s0x89c2f9ca3690a3df:0xde8b5d538961b171" TargetMode="External"/><Relationship Id="rId248" Type="http://schemas.openxmlformats.org/officeDocument/2006/relationships/hyperlink" Target="http://www.cliffsidefamilydentistry.com" TargetMode="External"/><Relationship Id="rId369" Type="http://schemas.openxmlformats.org/officeDocument/2006/relationships/hyperlink" Target="http://www.lawofficeofelsysegovia.com" TargetMode="External"/><Relationship Id="rId126" Type="http://schemas.openxmlformats.org/officeDocument/2006/relationships/hyperlink" Target="https://www.google.com/maps/place/data=!3m1!4b1!4m2!3m1!1s0x89c2f6e57115927f:0x6a03f1ec9a446983" TargetMode="External"/><Relationship Id="rId247" Type="http://schemas.openxmlformats.org/officeDocument/2006/relationships/hyperlink" Target="https://www.google.com/maps/place/data=!3m1!4b1!4m2!3m1!1s0x89c2fa22de872c2d:0xfeb4125d8b26826f" TargetMode="External"/><Relationship Id="rId368" Type="http://schemas.openxmlformats.org/officeDocument/2006/relationships/hyperlink" Target="https://www.google.com/maps/place/data=!3m1!4b1!4m2!3m1!1s0x89c2f75de479fd17:0xc6af0fbf9dfb149e" TargetMode="External"/><Relationship Id="rId121" Type="http://schemas.openxmlformats.org/officeDocument/2006/relationships/hyperlink" Target="http://www.ljselectric.com" TargetMode="External"/><Relationship Id="rId242" Type="http://schemas.openxmlformats.org/officeDocument/2006/relationships/hyperlink" Target="https://www.andersondentalhackensack.com" TargetMode="External"/><Relationship Id="rId363" Type="http://schemas.openxmlformats.org/officeDocument/2006/relationships/hyperlink" Target="https://www.google.com/maps/place/data=!3m1!4b1!4m2!3m1!1s0x89c2f7c1a0eb34c5:0xcb8ae4ee93516b48" TargetMode="External"/><Relationship Id="rId120" Type="http://schemas.openxmlformats.org/officeDocument/2006/relationships/hyperlink" Target="https://www.google.com/maps/place/data=!3m1!4b1!4m2!3m1!1s0x89c2f9e451fc5b11:0x549c050a80e5fe19" TargetMode="External"/><Relationship Id="rId241" Type="http://schemas.openxmlformats.org/officeDocument/2006/relationships/hyperlink" Target="https://www.google.com/maps/place/data=!3m1!4b1!4m2!3m1!1s0x89c2f0eb58d0a2f7:0x3c28396d8548ac27" TargetMode="External"/><Relationship Id="rId362" Type="http://schemas.openxmlformats.org/officeDocument/2006/relationships/hyperlink" Target="https://www.google.com/maps/place/data=!3m1!4b1!4m2!3m1!1s0x89c2f7b5b4cccb45:0xf70bd34bea4202b1" TargetMode="External"/><Relationship Id="rId240" Type="http://schemas.openxmlformats.org/officeDocument/2006/relationships/hyperlink" Target="https://www.plazadentistry.com" TargetMode="External"/><Relationship Id="rId361" Type="http://schemas.openxmlformats.org/officeDocument/2006/relationships/hyperlink" Target="https://www.google.com/maps/place/data=!3m1!4b1!4m2!3m1!1s0x89c2f7b923d2e423:0xb1a2879d7617f6ee" TargetMode="External"/><Relationship Id="rId360" Type="http://schemas.openxmlformats.org/officeDocument/2006/relationships/hyperlink" Target="https://www.zillow.com/profile/EuniceHwangRealtor" TargetMode="External"/><Relationship Id="rId125" Type="http://schemas.openxmlformats.org/officeDocument/2006/relationships/hyperlink" Target="http://electricalland.com/Fort-Lee" TargetMode="External"/><Relationship Id="rId246" Type="http://schemas.openxmlformats.org/officeDocument/2006/relationships/hyperlink" Target="https://www.peakfamilydentistry.com" TargetMode="External"/><Relationship Id="rId367" Type="http://schemas.openxmlformats.org/officeDocument/2006/relationships/hyperlink" Target="http://www.mccann-mccann.com" TargetMode="External"/><Relationship Id="rId124" Type="http://schemas.openxmlformats.org/officeDocument/2006/relationships/hyperlink" Target="https://www.google.com/maps/place/data=!3m1!4b1!4m2!3m1!1s0x89c2f9faa9dea101:0xe7c39df28153d452" TargetMode="External"/><Relationship Id="rId245" Type="http://schemas.openxmlformats.org/officeDocument/2006/relationships/hyperlink" Target="https://www.google.com/maps/place/data=!3m1!4b1!4m2!3m1!1s0x89c2f64c1c0ffb4d:0x6793d5a323286373" TargetMode="External"/><Relationship Id="rId366" Type="http://schemas.openxmlformats.org/officeDocument/2006/relationships/hyperlink" Target="https://www.google.com/maps/place/data=!3m1!4b1!4m2!3m1!1s0x89c2f6d1c8e93df1:0x4ada2e0e02b8b217" TargetMode="External"/><Relationship Id="rId123" Type="http://schemas.openxmlformats.org/officeDocument/2006/relationships/hyperlink" Target="http://www.jordanoelectric.com" TargetMode="External"/><Relationship Id="rId244" Type="http://schemas.openxmlformats.org/officeDocument/2006/relationships/hyperlink" Target="https://www.mybeamdental.com/locations/edgewater" TargetMode="External"/><Relationship Id="rId365" Type="http://schemas.openxmlformats.org/officeDocument/2006/relationships/hyperlink" Target="http://www.khanlawllp.com" TargetMode="External"/><Relationship Id="rId122" Type="http://schemas.openxmlformats.org/officeDocument/2006/relationships/hyperlink" Target="https://www.google.com/maps/place/data=!3m1!4b1!4m2!3m1!1s0x89c2f83b617204cb:0xc656ddcf97171307" TargetMode="External"/><Relationship Id="rId243" Type="http://schemas.openxmlformats.org/officeDocument/2006/relationships/hyperlink" Target="https://www.google.com/maps/place/data=!3m1!4b1!4m2!3m1!1s0x89c2fbf1a198543f:0xe3a4a7cdbf7487af" TargetMode="External"/><Relationship Id="rId364" Type="http://schemas.openxmlformats.org/officeDocument/2006/relationships/hyperlink" Target="https://www.google.com/maps/place/data=!3m1!4b1!4m2!3m1!1s0x89c2f710ec111d61:0xdd744fbf48557ba2" TargetMode="External"/><Relationship Id="rId95" Type="http://schemas.openxmlformats.org/officeDocument/2006/relationships/hyperlink" Target="https://gashiplumbing.com" TargetMode="External"/><Relationship Id="rId94" Type="http://schemas.openxmlformats.org/officeDocument/2006/relationships/hyperlink" Target="https://www.google.com/maps/place/data=!3m1!4b1!4m2!3m1!1s0x468201d7e15d5b65:0x7209a04c713c41c5" TargetMode="External"/><Relationship Id="rId97" Type="http://schemas.openxmlformats.org/officeDocument/2006/relationships/hyperlink" Target="https://www.google.com/maps/place/data=!3m1!4b1!4m2!3m1!1s0x7e0c057153d6c3:0x2f3a2d7fdeb2e11" TargetMode="External"/><Relationship Id="rId96" Type="http://schemas.openxmlformats.org/officeDocument/2006/relationships/hyperlink" Target="https://www.google.com/maps/place/data=!3m1!4b1!4m2!3m1!1s0x417bf1891674fb37:0x7721c7e8a5772ff5" TargetMode="External"/><Relationship Id="rId99" Type="http://schemas.openxmlformats.org/officeDocument/2006/relationships/hyperlink" Target="http://rooterdrainservice.com" TargetMode="External"/><Relationship Id="rId98" Type="http://schemas.openxmlformats.org/officeDocument/2006/relationships/hyperlink" Target="https://www.google.com/maps/place/data=!3m1!4b1!4m2!3m1!1s0x89c2f7a1b66b15c3:0xa78ca6d7d5670e7c" TargetMode="External"/><Relationship Id="rId91" Type="http://schemas.openxmlformats.org/officeDocument/2006/relationships/hyperlink" Target="https://www.dhplumber.com" TargetMode="External"/><Relationship Id="rId90" Type="http://schemas.openxmlformats.org/officeDocument/2006/relationships/hyperlink" Target="https://www.google.com/maps/place/data=!3m1!4b1!4m2!3m1!1s0x89c2f1744fad93cf:0x42e074de5d28c600" TargetMode="External"/><Relationship Id="rId93" Type="http://schemas.openxmlformats.org/officeDocument/2006/relationships/hyperlink" Target="http://www.kevintheplumber.org" TargetMode="External"/><Relationship Id="rId92" Type="http://schemas.openxmlformats.org/officeDocument/2006/relationships/hyperlink" Target="https://www.google.com/maps/place/data=!3m1!4b1!4m2!3m1!1s0x89c2f75153454dc7:0xeb862d124f7c255a" TargetMode="External"/><Relationship Id="rId118" Type="http://schemas.openxmlformats.org/officeDocument/2006/relationships/hyperlink" Target="http://www.instagram.com/nj.wiring.remodeling" TargetMode="External"/><Relationship Id="rId239" Type="http://schemas.openxmlformats.org/officeDocument/2006/relationships/hyperlink" Target="https://www.google.com/maps/place/data=!3m1!4b1!4m2!3m1!1s0x89c2fa275300dc63:0x4288d00d3eb4c498" TargetMode="External"/><Relationship Id="rId117" Type="http://schemas.openxmlformats.org/officeDocument/2006/relationships/hyperlink" Target="https://www.google.com/maps/place/data=!3m1!4b1!4m2!3m1!1s0x89c2f90709e12403:0x30f24188426e280b" TargetMode="External"/><Relationship Id="rId238" Type="http://schemas.openxmlformats.org/officeDocument/2006/relationships/hyperlink" Target="https://www.summitdentalwork.com" TargetMode="External"/><Relationship Id="rId359" Type="http://schemas.openxmlformats.org/officeDocument/2006/relationships/hyperlink" Target="https://www.google.com/maps/place/data=!3m1!4b1!4m2!3m1!1s0x89c2573279e8c8c5:0xca447b5d24ab7f1b" TargetMode="External"/><Relationship Id="rId116" Type="http://schemas.openxmlformats.org/officeDocument/2006/relationships/hyperlink" Target="https://www.p-e-techsolutions.com" TargetMode="External"/><Relationship Id="rId237" Type="http://schemas.openxmlformats.org/officeDocument/2006/relationships/hyperlink" Target="https://www.google.com/maps/place/data=!3m1!4b1!4m2!3m1!1s0x89c2f6fcd90dc8fd:0xd2222589edd88ba" TargetMode="External"/><Relationship Id="rId358" Type="http://schemas.openxmlformats.org/officeDocument/2006/relationships/hyperlink" Target="http://www.memproperty.com" TargetMode="External"/><Relationship Id="rId115" Type="http://schemas.openxmlformats.org/officeDocument/2006/relationships/hyperlink" Target="https://www.google.com/maps/place/data=!3m1!4b1!4m2!3m1!1s0x209cf0a3842635bd:0xc95b755e1d86b441" TargetMode="External"/><Relationship Id="rId236" Type="http://schemas.openxmlformats.org/officeDocument/2006/relationships/hyperlink" Target="https://www.abeautifulsmiledentistry.com" TargetMode="External"/><Relationship Id="rId357" Type="http://schemas.openxmlformats.org/officeDocument/2006/relationships/hyperlink" Target="https://www.google.com/maps/place/data=!3m1!4b1!4m2!3m1!1s0x89c2f7a8cca5d95d:0xa5631073549cdf69" TargetMode="External"/><Relationship Id="rId119" Type="http://schemas.openxmlformats.org/officeDocument/2006/relationships/hyperlink" Target="https://www.google.com/maps/place/data=!3m1!4b1!4m2!3m1!1s0x8d73eb31df9c467f:0x37d2339bd8d43ad9" TargetMode="External"/><Relationship Id="rId110" Type="http://schemas.openxmlformats.org/officeDocument/2006/relationships/hyperlink" Target="https://www.google.com/maps/place/data=!3m1!4b1!4m2!3m1!1s0x89c2f7784120c341:0xd83fabbf03cb0495" TargetMode="External"/><Relationship Id="rId231" Type="http://schemas.openxmlformats.org/officeDocument/2006/relationships/hyperlink" Target="https://www.google.com/maps/place/data=!3m1!4b1!4m2!3m1!1s0x89c2f128ef742d2d:0x2e23dcbc58fd8ba1" TargetMode="External"/><Relationship Id="rId352" Type="http://schemas.openxmlformats.org/officeDocument/2006/relationships/hyperlink" Target="https://www.google.com/maps/place/data=!3m1!4b1!4m2!3m1!1s0x89c2f7990e9cbfbd:0x8e3ba3c2bc36cb1a" TargetMode="External"/><Relationship Id="rId230" Type="http://schemas.openxmlformats.org/officeDocument/2006/relationships/hyperlink" Target="https://www.englewooddental.com" TargetMode="External"/><Relationship Id="rId351" Type="http://schemas.openxmlformats.org/officeDocument/2006/relationships/hyperlink" Target="https://www.google.com/maps/place/data=!3m1!4b1!4m2!3m1!1s0x89c2f9d50ff0b981:0x6398eeadf1bc2f4d" TargetMode="External"/><Relationship Id="rId350" Type="http://schemas.openxmlformats.org/officeDocument/2006/relationships/hyperlink" Target="http://www.gatesrealty.com" TargetMode="External"/><Relationship Id="rId114" Type="http://schemas.openxmlformats.org/officeDocument/2006/relationships/hyperlink" Target="https://njae.us" TargetMode="External"/><Relationship Id="rId235" Type="http://schemas.openxmlformats.org/officeDocument/2006/relationships/hyperlink" Target="https://www.google.com/maps/place/data=!3m1!4b1!4m2!3m1!1s0x89c2f7b3d1a381ad:0x63eb86749715f4c4" TargetMode="External"/><Relationship Id="rId356" Type="http://schemas.openxmlformats.org/officeDocument/2006/relationships/hyperlink" Target="https://www.google.com/maps/place/data=!3m1!4b1!4m2!3m1!1s0x89c2f7adf3bafc19:0xad479ab9a62bcd41" TargetMode="External"/><Relationship Id="rId113" Type="http://schemas.openxmlformats.org/officeDocument/2006/relationships/hyperlink" Target="https://www.google.com/maps/place/data=!3m1!4b1!4m2!3m1!1s0x89c2f77c9259b281:0x1d735202e32031bf" TargetMode="External"/><Relationship Id="rId234" Type="http://schemas.openxmlformats.org/officeDocument/2006/relationships/hyperlink" Target="http://www.heseddental.com" TargetMode="External"/><Relationship Id="rId355" Type="http://schemas.openxmlformats.org/officeDocument/2006/relationships/hyperlink" Target="http://www.century21.com" TargetMode="External"/><Relationship Id="rId112" Type="http://schemas.openxmlformats.org/officeDocument/2006/relationships/hyperlink" Target="https://www.google.com/maps/place/data=!3m1!4b1!4m2!3m1!1s0x89c2f78a04d750ef:0x4c2170cbfce03d5c" TargetMode="External"/><Relationship Id="rId233" Type="http://schemas.openxmlformats.org/officeDocument/2006/relationships/hyperlink" Target="https://www.google.com/maps/place/data=!3m1!4b1!4m2!3m1!1s0x89c2f711b257fb8f:0xf627a10cef6fa4b3" TargetMode="External"/><Relationship Id="rId354" Type="http://schemas.openxmlformats.org/officeDocument/2006/relationships/hyperlink" Target="https://www.google.com/maps/place/data=!3m1!4b1!4m2!3m1!1s0x89c2f7102568f4dd:0xfc6cc20ac6229fd7" TargetMode="External"/><Relationship Id="rId111" Type="http://schemas.openxmlformats.org/officeDocument/2006/relationships/hyperlink" Target="http://linkedin.com/company%20state-electric-inc" TargetMode="External"/><Relationship Id="rId232" Type="http://schemas.openxmlformats.org/officeDocument/2006/relationships/hyperlink" Target="http://limedentalnj.com" TargetMode="External"/><Relationship Id="rId353" Type="http://schemas.openxmlformats.org/officeDocument/2006/relationships/hyperlink" Target="https://providentlegacyrealtors.com" TargetMode="External"/><Relationship Id="rId305" Type="http://schemas.openxmlformats.org/officeDocument/2006/relationships/hyperlink" Target="http://energychiropracticpilates.com" TargetMode="External"/><Relationship Id="rId426" Type="http://schemas.openxmlformats.org/officeDocument/2006/relationships/hyperlink" Target="https://www.google.com/maps/place/data=!3m1!4b1!4m2!3m1!1s0x89c2f7c39f5ed32d:0x74c0addd9bfc182b" TargetMode="External"/><Relationship Id="rId304" Type="http://schemas.openxmlformats.org/officeDocument/2006/relationships/hyperlink" Target="https://www.google.com/maps/place/data=!3m1!4b1!4m2!3m1!1s0x89c2f73b4e5f7151:0xbb28e3c782657381" TargetMode="External"/><Relationship Id="rId425" Type="http://schemas.openxmlformats.org/officeDocument/2006/relationships/hyperlink" Target="http://www.personalinjuryfirm.net" TargetMode="External"/><Relationship Id="rId303" Type="http://schemas.openxmlformats.org/officeDocument/2006/relationships/hyperlink" Target="https://www.google.com/maps/place/data=!3m1!4b1!4m2!3m1!1s0x89c2f751b9f2e0f7:0xda88102d8f5f3231" TargetMode="External"/><Relationship Id="rId424" Type="http://schemas.openxmlformats.org/officeDocument/2006/relationships/hyperlink" Target="https://www.google.com/maps/place/data=!3m1!4b1!4m2!3m1!1s0x89c2f70b89612c43:0x6ba426a42597d001" TargetMode="External"/><Relationship Id="rId302" Type="http://schemas.openxmlformats.org/officeDocument/2006/relationships/hyperlink" Target="https://www.google.com/maps/place/data=!3m1!4b1!4m2!3m1!1s0x89c2f9eb5a9a2f25:0x680f55e9b99e549a" TargetMode="External"/><Relationship Id="rId423" Type="http://schemas.openxmlformats.org/officeDocument/2006/relationships/hyperlink" Target="https://www.google.com/maps/place/data=!3m1!4b1!4m2!3m1!1s0x89c2f70b8966c50d:0xb7487c9ae7a1a1d2" TargetMode="External"/><Relationship Id="rId309" Type="http://schemas.openxmlformats.org/officeDocument/2006/relationships/hyperlink" Target="https://www.rutherfordfamilychiropractor.com" TargetMode="External"/><Relationship Id="rId308" Type="http://schemas.openxmlformats.org/officeDocument/2006/relationships/hyperlink" Target="https://www.google.com/maps/place/data=!3m1!4b1!4m2!3m1!1s0x89c2f7408025ead3:0x24a90fc14147786f" TargetMode="External"/><Relationship Id="rId429" Type="http://schemas.openxmlformats.org/officeDocument/2006/relationships/hyperlink" Target="https://www.google.com/maps/place/data=!3m1!4b1!4m2!3m1!1s0x89c2f70d1d83062f:0x3ea87f553f3d341d" TargetMode="External"/><Relationship Id="rId307" Type="http://schemas.openxmlformats.org/officeDocument/2006/relationships/hyperlink" Target="https://www.drpico.com" TargetMode="External"/><Relationship Id="rId428" Type="http://schemas.openxmlformats.org/officeDocument/2006/relationships/hyperlink" Target="https://www.google.com/maps/place/data=!3m1!4b1!4m2!3m1!1s0x89c2f9d7a15a9b97:0xc25137caab4f4aef" TargetMode="External"/><Relationship Id="rId306" Type="http://schemas.openxmlformats.org/officeDocument/2006/relationships/hyperlink" Target="https://www.google.com/maps/place/data=!3m1!4b1!4m2!3m1!1s0x89c2f0b2101b6389:0x3bfd596d1ffd9a5" TargetMode="External"/><Relationship Id="rId427" Type="http://schemas.openxmlformats.org/officeDocument/2006/relationships/hyperlink" Target="http://www.advancedautorepair.net" TargetMode="External"/><Relationship Id="rId301" Type="http://schemas.openxmlformats.org/officeDocument/2006/relationships/hyperlink" Target="http://www.betterufamily.com" TargetMode="External"/><Relationship Id="rId422" Type="http://schemas.openxmlformats.org/officeDocument/2006/relationships/hyperlink" Target="https://www.google.com/maps/place/data=!3m1!4b1!4m2!3m1!1s0x89c2f76135120ed7:0xe0f4c68b63024f55" TargetMode="External"/><Relationship Id="rId300" Type="http://schemas.openxmlformats.org/officeDocument/2006/relationships/hyperlink" Target="https://www.google.com/maps/place/data=!3m1!4b1!4m2!3m1!1s0x89c2f8eb0d20dfe1:0xe185110db0fb8b97" TargetMode="External"/><Relationship Id="rId421" Type="http://schemas.openxmlformats.org/officeDocument/2006/relationships/hyperlink" Target="https://www.google.com/maps/place/data=!3m1!4b1!4m2!3m1!1s0x89c2f6c2ccbb931d:0x14df7556ba3df52b" TargetMode="External"/><Relationship Id="rId420" Type="http://schemas.openxmlformats.org/officeDocument/2006/relationships/hyperlink" Target="http://www.jaeleelaw.com" TargetMode="External"/><Relationship Id="rId415" Type="http://schemas.openxmlformats.org/officeDocument/2006/relationships/hyperlink" Target="https://www.google.com/maps/place/data=!3m1!4b1!4m2!3m1!1s0x89c2f9f6c1c38fc7:0xf816310afe24d453" TargetMode="External"/><Relationship Id="rId414" Type="http://schemas.openxmlformats.org/officeDocument/2006/relationships/hyperlink" Target="https://reinartzlaw.com/hackensack-personal-injury-lawyer" TargetMode="External"/><Relationship Id="rId413" Type="http://schemas.openxmlformats.org/officeDocument/2006/relationships/hyperlink" Target="https://www.google.com/maps/place/data=!3m1!4b1!4m2!3m1!1s0x89c2f9d59dea9c4f:0x7359a94bb90f16c4" TargetMode="External"/><Relationship Id="rId412" Type="http://schemas.openxmlformats.org/officeDocument/2006/relationships/hyperlink" Target="https://olgnj.com" TargetMode="External"/><Relationship Id="rId419" Type="http://schemas.openxmlformats.org/officeDocument/2006/relationships/hyperlink" Target="https://www.google.com/maps/place/data=!3m1!4b1!4m2!3m1!1s0x89c2f71d16297019:0x1e93a21c6c02a23" TargetMode="External"/><Relationship Id="rId418" Type="http://schemas.openxmlformats.org/officeDocument/2006/relationships/hyperlink" Target="https://www.choifirm.com" TargetMode="External"/><Relationship Id="rId417" Type="http://schemas.openxmlformats.org/officeDocument/2006/relationships/hyperlink" Target="https://www.google.com/maps/place/data=!3m1!4b1!4m2!3m1!1s0x89c2f0b01ae2018b:0x34ed373161d35c98" TargetMode="External"/><Relationship Id="rId416" Type="http://schemas.openxmlformats.org/officeDocument/2006/relationships/hyperlink" Target="https://www.hassonlawoffices.com/personal-injury/" TargetMode="External"/><Relationship Id="rId411" Type="http://schemas.openxmlformats.org/officeDocument/2006/relationships/hyperlink" Target="https://www.google.com/maps/place/data=!3m1!4b1!4m2!3m1!1s0x89c2f9dde3807313:0xe3fa1ede373027ac" TargetMode="External"/><Relationship Id="rId410" Type="http://schemas.openxmlformats.org/officeDocument/2006/relationships/hyperlink" Target="http://tuccilaw.net" TargetMode="External"/><Relationship Id="rId206" Type="http://schemas.openxmlformats.org/officeDocument/2006/relationships/hyperlink" Target="https://www.google.com/maps/place/data=!3m1!4b1!4m2!3m1!1s0x89c2f9946b8cb7cd:0xca75b2f252befb3e" TargetMode="External"/><Relationship Id="rId327" Type="http://schemas.openxmlformats.org/officeDocument/2006/relationships/hyperlink" Target="https://www.google.com/maps/place/data=!3m1!4b1!4m2!3m1!1s0x89c257a20b6aa4af:0xbdc664ef1a5aef2e" TargetMode="External"/><Relationship Id="rId448" Type="http://schemas.openxmlformats.org/officeDocument/2006/relationships/hyperlink" Target="https://www.google.com/maps/place/data=!3m1!4b1!4m2!3m1!1s0x89c2f7dcdba0d6b7:0xcdcdb17e72134d9e" TargetMode="External"/><Relationship Id="rId205" Type="http://schemas.openxmlformats.org/officeDocument/2006/relationships/hyperlink" Target="https://www.erindentaloflittleferry.com" TargetMode="External"/><Relationship Id="rId326" Type="http://schemas.openxmlformats.org/officeDocument/2006/relationships/hyperlink" Target="http://rhonere.com" TargetMode="External"/><Relationship Id="rId447" Type="http://schemas.openxmlformats.org/officeDocument/2006/relationships/hyperlink" Target="https://www.google.com/maps/place/data=!3m1!4b1!4m2!3m1!1s0x89c2f7dedc2368b7:0xc59ea898c1151df6" TargetMode="External"/><Relationship Id="rId204" Type="http://schemas.openxmlformats.org/officeDocument/2006/relationships/hyperlink" Target="https://www.google.com/maps/place/data=!3m1!4b1!4m2!3m1!1s0x89c2f7f2cf8b77f5:0x50b0416defe1a0fb" TargetMode="External"/><Relationship Id="rId325" Type="http://schemas.openxmlformats.org/officeDocument/2006/relationships/hyperlink" Target="https://www.google.com/maps/place/data=!3m1!4b1!4m2!3m1!1s0x89c2f79eb8945fe1:0x2ebf16e5696a0d26" TargetMode="External"/><Relationship Id="rId446" Type="http://schemas.openxmlformats.org/officeDocument/2006/relationships/hyperlink" Target="https://www.google.com/maps/place/data=!3m1!4b1!4m2!3m1!1s0x89c2f9dc20b0c31f:0xe4699dc9629aae34" TargetMode="External"/><Relationship Id="rId203" Type="http://schemas.openxmlformats.org/officeDocument/2006/relationships/hyperlink" Target="https://timedentalgroup.com" TargetMode="External"/><Relationship Id="rId324" Type="http://schemas.openxmlformats.org/officeDocument/2006/relationships/hyperlink" Target="https://www.kingstonerealty.net" TargetMode="External"/><Relationship Id="rId445" Type="http://schemas.openxmlformats.org/officeDocument/2006/relationships/hyperlink" Target="https://www.google.com/maps/place/data=!3m1!4b1!4m2!3m1!1s0x89c2f90db5833493:0x18fcd483d43c73d6" TargetMode="External"/><Relationship Id="rId209" Type="http://schemas.openxmlformats.org/officeDocument/2006/relationships/hyperlink" Target="https://aestheticdentalcenters4you.com" TargetMode="External"/><Relationship Id="rId208" Type="http://schemas.openxmlformats.org/officeDocument/2006/relationships/hyperlink" Target="https://www.google.com/maps/place/data=!3m1!4b1!4m2!3m1!1s0x89c2f7548a98dc95:0xca626b42e2e34e9a" TargetMode="External"/><Relationship Id="rId329" Type="http://schemas.openxmlformats.org/officeDocument/2006/relationships/hyperlink" Target="https://www.google.com/maps/place/data=!3m1!4b1!4m2!3m1!1s0x89c2f70e21795555:0x8dd1e677e4958a6a" TargetMode="External"/><Relationship Id="rId207" Type="http://schemas.openxmlformats.org/officeDocument/2006/relationships/hyperlink" Target="https://bogota.bdentalspa.com" TargetMode="External"/><Relationship Id="rId328" Type="http://schemas.openxmlformats.org/officeDocument/2006/relationships/hyperlink" Target="https://www.realtor.com/realestateagents/56b0a23a0fa4170100747ba5" TargetMode="External"/><Relationship Id="rId449" Type="http://schemas.openxmlformats.org/officeDocument/2006/relationships/hyperlink" Target="https://www.google.com/maps/place/data=!3m1!4b1!4m2!3m1!1s0x89c2f79ea48fe281:0x67f5a7777e6afb2c" TargetMode="External"/><Relationship Id="rId440" Type="http://schemas.openxmlformats.org/officeDocument/2006/relationships/hyperlink" Target="https://www.google.com/maps/place/data=!3m1!4b1!4m2!3m1!1s0x89c2f64aacdbc77f:0x7c830e9f315e7e80" TargetMode="External"/><Relationship Id="rId202" Type="http://schemas.openxmlformats.org/officeDocument/2006/relationships/hyperlink" Target="https://www.google.com/maps/place/data=!3m1!4b1!4m2!3m1!1s0x89c2fa2081ad84c7:0xffd3a2707e0deb1a" TargetMode="External"/><Relationship Id="rId323" Type="http://schemas.openxmlformats.org/officeDocument/2006/relationships/hyperlink" Target="https://www.google.com/maps/place/data=!3m1!4b1!4m2!3m1!1s0x89c2f728995e52df:0x98294673a223509b" TargetMode="External"/><Relationship Id="rId444" Type="http://schemas.openxmlformats.org/officeDocument/2006/relationships/hyperlink" Target="https://www.google.com/maps/place/data=!3m1!4b1!4m2!3m1!1s0x89c2f79c8de9dc03:0xc62c0a131852853c" TargetMode="External"/><Relationship Id="rId201" Type="http://schemas.openxmlformats.org/officeDocument/2006/relationships/hyperlink" Target="https://www.completedentalworks.com" TargetMode="External"/><Relationship Id="rId322" Type="http://schemas.openxmlformats.org/officeDocument/2006/relationships/hyperlink" Target="http://elevaterealtynj.com" TargetMode="External"/><Relationship Id="rId443" Type="http://schemas.openxmlformats.org/officeDocument/2006/relationships/hyperlink" Target="http://www.jjmotorgroup.com" TargetMode="External"/><Relationship Id="rId200" Type="http://schemas.openxmlformats.org/officeDocument/2006/relationships/hyperlink" Target="https://www.google.com/maps/place/data=!3m1!4b1!4m2!3m1!1s0x89c2f77caed52ee7:0x6ddca00c17de4c19" TargetMode="External"/><Relationship Id="rId321" Type="http://schemas.openxmlformats.org/officeDocument/2006/relationships/hyperlink" Target="https://www.google.com/maps/place/data=!3m1!4b1!4m2!3m1!1s0x89c2f1458b1dd5f9:0x3e758d84c5fda279" TargetMode="External"/><Relationship Id="rId442" Type="http://schemas.openxmlformats.org/officeDocument/2006/relationships/hyperlink" Target="https://www.google.com/maps/place/data=!3m1!4b1!4m2!3m1!1s0x89c2f0afc197fe37:0xd3eeb37de26c985d" TargetMode="External"/><Relationship Id="rId320" Type="http://schemas.openxmlformats.org/officeDocument/2006/relationships/hyperlink" Target="https://ridgecoproperties.com" TargetMode="External"/><Relationship Id="rId441" Type="http://schemas.openxmlformats.org/officeDocument/2006/relationships/hyperlink" Target="http://noahautorepairshop.com" TargetMode="External"/><Relationship Id="rId316" Type="http://schemas.openxmlformats.org/officeDocument/2006/relationships/hyperlink" Target="https://www.google.com/maps/place/data=!3m1!4b1!4m2!3m1!1s0x89c2f70b3b3432e3:0x195828b7ca3b8a83" TargetMode="External"/><Relationship Id="rId437" Type="http://schemas.openxmlformats.org/officeDocument/2006/relationships/hyperlink" Target="http://westviewstation.com" TargetMode="External"/><Relationship Id="rId315" Type="http://schemas.openxmlformats.org/officeDocument/2006/relationships/hyperlink" Target="http://hudsononerealty.com" TargetMode="External"/><Relationship Id="rId436" Type="http://schemas.openxmlformats.org/officeDocument/2006/relationships/hyperlink" Target="https://www.google.com/maps/place/data=!3m1!4b1!4m2!3m1!1s0x89c2f70b2157062b:0xf542e25a7a60845a" TargetMode="External"/><Relationship Id="rId314" Type="http://schemas.openxmlformats.org/officeDocument/2006/relationships/hyperlink" Target="https://www.google.com/maps/place/data=!3m1!4b1!4m2!3m1!1s0x89c2f751bc655555:0x328479be93e01d5a" TargetMode="External"/><Relationship Id="rId435" Type="http://schemas.openxmlformats.org/officeDocument/2006/relationships/hyperlink" Target="https://www.google.com/maps/place/data=!3m1!4b1!4m2!3m1!1s0x89c2f9d9a07bac1d:0xbe030c86bfd7d8a1" TargetMode="External"/><Relationship Id="rId313" Type="http://schemas.openxmlformats.org/officeDocument/2006/relationships/hyperlink" Target="https://weence.com/medical/doctors/teaneck/lefkowitz-chiropractic" TargetMode="External"/><Relationship Id="rId434" Type="http://schemas.openxmlformats.org/officeDocument/2006/relationships/hyperlink" Target="https://www.google.com/maps/place/data=!3m1!4b1!4m2!3m1!1s0x89c2f79cd6ee5607:0x9be765444a9b43bf" TargetMode="External"/><Relationship Id="rId319" Type="http://schemas.openxmlformats.org/officeDocument/2006/relationships/hyperlink" Target="https://www.google.com/maps/place/data=!3m1!4b1!4m2!3m1!1s0x89c2f711daae4e75:0xbe571a3a9233ce4a" TargetMode="External"/><Relationship Id="rId318" Type="http://schemas.openxmlformats.org/officeDocument/2006/relationships/hyperlink" Target="https://clandrealtynj.com" TargetMode="External"/><Relationship Id="rId439" Type="http://schemas.openxmlformats.org/officeDocument/2006/relationships/hyperlink" Target="https://www.google.com/maps/place/data=!3m1!4b1!4m2!3m1!1s0x89c2f9e57fe883b7:0xa0e80976f2ee5d87" TargetMode="External"/><Relationship Id="rId317" Type="http://schemas.openxmlformats.org/officeDocument/2006/relationships/hyperlink" Target="https://www.google.com/maps/place/data=!3m1!4b1!4m2!3m1!1s0x89c2f70e21f09b5b:0x64d9cb3e24d6a536" TargetMode="External"/><Relationship Id="rId438" Type="http://schemas.openxmlformats.org/officeDocument/2006/relationships/hyperlink" Target="https://www.google.com/maps/place/data=!3m1!4b1!4m2!3m1!1s0x89c2f9e020b88161:0x777a9c5899c9709" TargetMode="External"/><Relationship Id="rId312" Type="http://schemas.openxmlformats.org/officeDocument/2006/relationships/hyperlink" Target="https://www.google.com/maps/place/data=!3m1!4b1!4m2!3m1!1s0x89c2f6e6fdd4722b:0x5bad0e0879cbdcc4" TargetMode="External"/><Relationship Id="rId433" Type="http://schemas.openxmlformats.org/officeDocument/2006/relationships/hyperlink" Target="https://www.google.com/maps/place/data=!3m1!4b1!4m2!3m1!1s0x89c2f9fa96d2c3d5:0xdbfd09466a90b59b" TargetMode="External"/><Relationship Id="rId311" Type="http://schemas.openxmlformats.org/officeDocument/2006/relationships/hyperlink" Target="http://www.drpaulkang.com" TargetMode="External"/><Relationship Id="rId432" Type="http://schemas.openxmlformats.org/officeDocument/2006/relationships/hyperlink" Target="https://www.google.com/maps/place/data=!3m1!4b1!4m2!3m1!1s0x89c2f761a8d81a55:0x2a368343c0f69027" TargetMode="External"/><Relationship Id="rId310" Type="http://schemas.openxmlformats.org/officeDocument/2006/relationships/hyperlink" Target="https://www.google.com/maps/place/data=!3m1!4b1!4m2!3m1!1s0x89c2f8962d6d22fd:0x2962ee79edaac511" TargetMode="External"/><Relationship Id="rId431" Type="http://schemas.openxmlformats.org/officeDocument/2006/relationships/hyperlink" Target="https://www.dredsauto.com" TargetMode="External"/><Relationship Id="rId430" Type="http://schemas.openxmlformats.org/officeDocument/2006/relationships/hyperlink" Target="https://www.google.com/maps/place/data=!3m1!4b1!4m2!3m1!1s0x89c2f7793743545b:0x86e2dfc1d1bf3be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63"/>
    <col customWidth="1" min="2" max="2" width="12.13"/>
    <col customWidth="1" min="3" max="3" width="8.75"/>
    <col customWidth="1" min="4" max="4" width="14.88"/>
    <col customWidth="1" min="5" max="5" width="117.13"/>
    <col customWidth="1" min="6" max="6" width="24.25"/>
    <col customWidth="1" min="7" max="7" width="22.0"/>
    <col customWidth="1" min="8" max="8" width="13.13"/>
    <col customWidth="1" min="9" max="9" width="151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>
        <f>+19732466298</f>
        <v>19732466298</v>
      </c>
      <c r="C2" s="4">
        <v>4.6</v>
      </c>
      <c r="D2" s="4">
        <v>30.0</v>
      </c>
      <c r="E2" s="6" t="s">
        <v>10</v>
      </c>
      <c r="F2" s="4" t="s">
        <v>11</v>
      </c>
      <c r="G2" s="4" t="s">
        <v>12</v>
      </c>
      <c r="H2" s="4" t="s">
        <v>13</v>
      </c>
      <c r="I2" s="4" t="s">
        <v>14</v>
      </c>
    </row>
    <row r="3">
      <c r="A3" s="7" t="s">
        <v>15</v>
      </c>
      <c r="B3" s="8">
        <f>+19736667266</f>
        <v>19736667266</v>
      </c>
      <c r="C3" s="7">
        <v>4.3</v>
      </c>
      <c r="D3" s="7">
        <v>61.0</v>
      </c>
      <c r="E3" s="9" t="s">
        <v>16</v>
      </c>
      <c r="F3" s="7" t="s">
        <v>17</v>
      </c>
      <c r="G3" s="10"/>
      <c r="H3" s="10"/>
      <c r="I3" s="7" t="s">
        <v>18</v>
      </c>
    </row>
    <row r="4">
      <c r="A4" s="7" t="s">
        <v>19</v>
      </c>
      <c r="B4" s="8">
        <f>+12016414040</f>
        <v>12016414040</v>
      </c>
      <c r="C4" s="7">
        <v>4.3</v>
      </c>
      <c r="D4" s="7">
        <v>31.0</v>
      </c>
      <c r="E4" s="9" t="s">
        <v>20</v>
      </c>
      <c r="F4" s="7" t="s">
        <v>21</v>
      </c>
      <c r="G4" s="7" t="s">
        <v>22</v>
      </c>
      <c r="H4" s="7" t="s">
        <v>23</v>
      </c>
      <c r="I4" s="7" t="s">
        <v>24</v>
      </c>
    </row>
    <row r="5">
      <c r="A5" s="7" t="s">
        <v>25</v>
      </c>
      <c r="B5" s="8">
        <f>+15513628573</f>
        <v>15513628573</v>
      </c>
      <c r="C5" s="7">
        <v>4.9</v>
      </c>
      <c r="D5" s="7">
        <v>34.0</v>
      </c>
      <c r="E5" s="9" t="s">
        <v>26</v>
      </c>
      <c r="F5" s="7" t="s">
        <v>21</v>
      </c>
      <c r="G5" s="7" t="s">
        <v>27</v>
      </c>
      <c r="H5" s="7" t="s">
        <v>28</v>
      </c>
      <c r="I5" s="7" t="s">
        <v>18</v>
      </c>
    </row>
    <row r="6">
      <c r="A6" s="7" t="s">
        <v>29</v>
      </c>
      <c r="B6" s="8">
        <f>+12018363600</f>
        <v>12018363600</v>
      </c>
      <c r="C6" s="7">
        <v>3.4</v>
      </c>
      <c r="D6" s="7">
        <v>9.0</v>
      </c>
      <c r="E6" s="9" t="s">
        <v>30</v>
      </c>
      <c r="F6" s="7" t="s">
        <v>21</v>
      </c>
      <c r="G6" s="7" t="s">
        <v>31</v>
      </c>
      <c r="H6" s="7" t="s">
        <v>32</v>
      </c>
      <c r="I6" s="7" t="s">
        <v>33</v>
      </c>
    </row>
    <row r="7">
      <c r="A7" s="7" t="s">
        <v>34</v>
      </c>
      <c r="B7" s="8">
        <f>+12016419190</f>
        <v>12016419190</v>
      </c>
      <c r="C7" s="7">
        <v>4.5</v>
      </c>
      <c r="D7" s="7">
        <v>2.0</v>
      </c>
      <c r="E7" s="9" t="s">
        <v>35</v>
      </c>
      <c r="F7" s="7" t="s">
        <v>21</v>
      </c>
      <c r="G7" s="7" t="s">
        <v>36</v>
      </c>
      <c r="H7" s="7" t="s">
        <v>23</v>
      </c>
      <c r="I7" s="7" t="s">
        <v>37</v>
      </c>
    </row>
    <row r="8">
      <c r="A8" s="7" t="s">
        <v>38</v>
      </c>
      <c r="B8" s="8">
        <f>+12017085703</f>
        <v>12017085703</v>
      </c>
      <c r="C8" s="7">
        <v>4.5</v>
      </c>
      <c r="D8" s="7">
        <v>8.0</v>
      </c>
      <c r="E8" s="9" t="s">
        <v>39</v>
      </c>
      <c r="F8" s="7" t="s">
        <v>21</v>
      </c>
      <c r="G8" s="7" t="s">
        <v>40</v>
      </c>
      <c r="H8" s="7" t="s">
        <v>41</v>
      </c>
      <c r="I8" s="7" t="s">
        <v>18</v>
      </c>
    </row>
    <row r="9">
      <c r="A9" s="7" t="s">
        <v>42</v>
      </c>
      <c r="B9" s="8">
        <f>+12016416700</f>
        <v>12016416700</v>
      </c>
      <c r="C9" s="7">
        <v>3.7</v>
      </c>
      <c r="D9" s="7">
        <v>3.0</v>
      </c>
      <c r="E9" s="9" t="s">
        <v>43</v>
      </c>
      <c r="F9" s="7" t="s">
        <v>21</v>
      </c>
      <c r="G9" s="10"/>
      <c r="H9" s="7" t="s">
        <v>44</v>
      </c>
      <c r="I9" s="7" t="s">
        <v>37</v>
      </c>
    </row>
    <row r="10">
      <c r="A10" s="7" t="s">
        <v>45</v>
      </c>
      <c r="B10" s="8">
        <f>+18622006597</f>
        <v>18622006597</v>
      </c>
      <c r="C10" s="7">
        <v>5.0</v>
      </c>
      <c r="D10" s="7">
        <v>44.0</v>
      </c>
      <c r="E10" s="9" t="s">
        <v>46</v>
      </c>
      <c r="F10" s="7" t="s">
        <v>21</v>
      </c>
      <c r="G10" s="7" t="s">
        <v>47</v>
      </c>
      <c r="H10" s="7" t="s">
        <v>28</v>
      </c>
      <c r="I10" s="7" t="s">
        <v>18</v>
      </c>
    </row>
    <row r="11">
      <c r="A11" s="7" t="s">
        <v>48</v>
      </c>
      <c r="B11" s="8">
        <f>+12012063164</f>
        <v>12012063164</v>
      </c>
      <c r="C11" s="7">
        <v>4.2</v>
      </c>
      <c r="D11" s="7">
        <v>11.0</v>
      </c>
      <c r="E11" s="9" t="s">
        <v>49</v>
      </c>
      <c r="F11" s="7" t="s">
        <v>21</v>
      </c>
      <c r="G11" s="7" t="s">
        <v>50</v>
      </c>
      <c r="H11" s="7" t="s">
        <v>51</v>
      </c>
      <c r="I11" s="7" t="s">
        <v>52</v>
      </c>
    </row>
    <row r="12">
      <c r="A12" s="7" t="s">
        <v>53</v>
      </c>
      <c r="B12" s="8">
        <f>+12014943021</f>
        <v>12014943021</v>
      </c>
      <c r="C12" s="7">
        <v>5.0</v>
      </c>
      <c r="D12" s="7">
        <v>21.0</v>
      </c>
      <c r="E12" s="9" t="s">
        <v>54</v>
      </c>
      <c r="F12" s="7" t="s">
        <v>21</v>
      </c>
      <c r="G12" s="7" t="s">
        <v>55</v>
      </c>
      <c r="H12" s="7" t="s">
        <v>56</v>
      </c>
      <c r="I12" s="7" t="s">
        <v>57</v>
      </c>
    </row>
    <row r="13">
      <c r="A13" s="7" t="s">
        <v>58</v>
      </c>
      <c r="B13" s="8">
        <f>+19082352331</f>
        <v>19082352331</v>
      </c>
      <c r="C13" s="7">
        <v>5.0</v>
      </c>
      <c r="D13" s="7">
        <v>4.0</v>
      </c>
      <c r="E13" s="9" t="s">
        <v>59</v>
      </c>
      <c r="F13" s="7" t="s">
        <v>21</v>
      </c>
      <c r="G13" s="10"/>
      <c r="H13" s="10"/>
      <c r="I13" s="7" t="s">
        <v>18</v>
      </c>
    </row>
    <row r="14">
      <c r="A14" s="7" t="s">
        <v>60</v>
      </c>
      <c r="B14" s="8">
        <f>+12013137066</f>
        <v>12013137066</v>
      </c>
      <c r="C14" s="7">
        <v>5.0</v>
      </c>
      <c r="D14" s="7">
        <v>1.0</v>
      </c>
      <c r="E14" s="9" t="s">
        <v>61</v>
      </c>
      <c r="F14" s="7" t="s">
        <v>21</v>
      </c>
      <c r="G14" s="7" t="s">
        <v>62</v>
      </c>
      <c r="H14" s="7" t="s">
        <v>41</v>
      </c>
      <c r="I14" s="7" t="s">
        <v>37</v>
      </c>
    </row>
    <row r="15">
      <c r="A15" s="7" t="s">
        <v>63</v>
      </c>
      <c r="B15" s="8">
        <f>+12014884383</f>
        <v>12014884383</v>
      </c>
      <c r="C15" s="7">
        <v>4.1</v>
      </c>
      <c r="D15" s="7">
        <v>299.0</v>
      </c>
      <c r="E15" s="9" t="s">
        <v>64</v>
      </c>
      <c r="F15" s="7" t="s">
        <v>21</v>
      </c>
      <c r="G15" s="10"/>
      <c r="H15" s="10"/>
      <c r="I15" s="7" t="s">
        <v>65</v>
      </c>
    </row>
    <row r="16">
      <c r="A16" s="7" t="s">
        <v>66</v>
      </c>
      <c r="B16" s="8">
        <f>+12014403130</f>
        <v>12014403130</v>
      </c>
      <c r="C16" s="7">
        <v>3.9</v>
      </c>
      <c r="D16" s="7">
        <v>14.0</v>
      </c>
      <c r="E16" s="9" t="s">
        <v>67</v>
      </c>
      <c r="F16" s="7" t="s">
        <v>68</v>
      </c>
      <c r="G16" s="7" t="s">
        <v>69</v>
      </c>
      <c r="H16" s="7" t="s">
        <v>23</v>
      </c>
      <c r="I16" s="7" t="s">
        <v>18</v>
      </c>
    </row>
    <row r="17">
      <c r="A17" s="7" t="s">
        <v>70</v>
      </c>
      <c r="B17" s="8">
        <f>+12016413777</f>
        <v>12016413777</v>
      </c>
      <c r="C17" s="10"/>
      <c r="D17" s="7">
        <v>0.0</v>
      </c>
      <c r="E17" s="9" t="s">
        <v>71</v>
      </c>
      <c r="F17" s="7" t="s">
        <v>68</v>
      </c>
      <c r="G17" s="7" t="s">
        <v>72</v>
      </c>
      <c r="H17" s="7" t="s">
        <v>23</v>
      </c>
      <c r="I17" s="7" t="s">
        <v>37</v>
      </c>
    </row>
    <row r="18">
      <c r="A18" s="7" t="s">
        <v>73</v>
      </c>
      <c r="B18" s="8">
        <f>+12014889015</f>
        <v>12014889015</v>
      </c>
      <c r="C18" s="7">
        <v>4.0</v>
      </c>
      <c r="D18" s="7">
        <v>4.0</v>
      </c>
      <c r="E18" s="9" t="s">
        <v>74</v>
      </c>
      <c r="F18" s="7" t="s">
        <v>68</v>
      </c>
      <c r="G18" s="7" t="s">
        <v>75</v>
      </c>
      <c r="H18" s="7" t="s">
        <v>28</v>
      </c>
      <c r="I18" s="7" t="s">
        <v>37</v>
      </c>
    </row>
    <row r="19">
      <c r="A19" s="7" t="s">
        <v>76</v>
      </c>
      <c r="B19" s="8">
        <f>+12012960101</f>
        <v>12012960101</v>
      </c>
      <c r="C19" s="10"/>
      <c r="D19" s="7">
        <v>0.0</v>
      </c>
      <c r="E19" s="9" t="s">
        <v>77</v>
      </c>
      <c r="F19" s="7" t="s">
        <v>68</v>
      </c>
      <c r="G19" s="7" t="s">
        <v>78</v>
      </c>
      <c r="H19" s="7" t="s">
        <v>79</v>
      </c>
      <c r="I19" s="7" t="s">
        <v>80</v>
      </c>
    </row>
    <row r="20">
      <c r="A20" s="7" t="s">
        <v>81</v>
      </c>
      <c r="B20" s="8">
        <f>+12014870999</f>
        <v>12014870999</v>
      </c>
      <c r="C20" s="7">
        <v>5.0</v>
      </c>
      <c r="D20" s="7">
        <v>2.0</v>
      </c>
      <c r="E20" s="9" t="s">
        <v>82</v>
      </c>
      <c r="F20" s="7" t="s">
        <v>68</v>
      </c>
      <c r="G20" s="7" t="s">
        <v>83</v>
      </c>
      <c r="H20" s="7" t="s">
        <v>51</v>
      </c>
      <c r="I20" s="7" t="s">
        <v>37</v>
      </c>
    </row>
    <row r="21">
      <c r="A21" s="7" t="s">
        <v>84</v>
      </c>
      <c r="B21" s="8">
        <f>+12019439282</f>
        <v>12019439282</v>
      </c>
      <c r="C21" s="7">
        <v>5.0</v>
      </c>
      <c r="D21" s="7">
        <v>1.0</v>
      </c>
      <c r="E21" s="9" t="s">
        <v>85</v>
      </c>
      <c r="F21" s="7" t="s">
        <v>68</v>
      </c>
      <c r="G21" s="7" t="s">
        <v>86</v>
      </c>
      <c r="H21" s="7" t="s">
        <v>87</v>
      </c>
      <c r="I21" s="7" t="s">
        <v>37</v>
      </c>
    </row>
    <row r="22">
      <c r="A22" s="7" t="s">
        <v>88</v>
      </c>
      <c r="B22" s="8">
        <f>+12014872785</f>
        <v>12014872785</v>
      </c>
      <c r="C22" s="7">
        <v>3.0</v>
      </c>
      <c r="D22" s="7">
        <v>2.0</v>
      </c>
      <c r="E22" s="9" t="s">
        <v>89</v>
      </c>
      <c r="F22" s="7" t="s">
        <v>68</v>
      </c>
      <c r="G22" s="7" t="s">
        <v>90</v>
      </c>
      <c r="H22" s="7" t="s">
        <v>28</v>
      </c>
      <c r="I22" s="7" t="s">
        <v>37</v>
      </c>
    </row>
    <row r="23">
      <c r="A23" s="7" t="s">
        <v>91</v>
      </c>
      <c r="B23" s="8">
        <f>+18885881304</f>
        <v>18885881304</v>
      </c>
      <c r="C23" s="7">
        <v>5.0</v>
      </c>
      <c r="D23" s="7">
        <v>1.0</v>
      </c>
      <c r="E23" s="9" t="s">
        <v>92</v>
      </c>
      <c r="F23" s="7" t="s">
        <v>68</v>
      </c>
      <c r="G23" s="7" t="s">
        <v>93</v>
      </c>
      <c r="H23" s="7" t="s">
        <v>87</v>
      </c>
      <c r="I23" s="7" t="s">
        <v>94</v>
      </c>
    </row>
    <row r="24">
      <c r="A24" s="7" t="s">
        <v>95</v>
      </c>
      <c r="B24" s="8">
        <f>+12013907256</f>
        <v>12013907256</v>
      </c>
      <c r="C24" s="7">
        <v>5.0</v>
      </c>
      <c r="D24" s="7">
        <v>10.0</v>
      </c>
      <c r="E24" s="9" t="s">
        <v>96</v>
      </c>
      <c r="F24" s="7" t="s">
        <v>68</v>
      </c>
      <c r="G24" s="7" t="s">
        <v>97</v>
      </c>
      <c r="H24" s="7" t="s">
        <v>98</v>
      </c>
      <c r="I24" s="7" t="s">
        <v>99</v>
      </c>
    </row>
    <row r="25">
      <c r="A25" s="7" t="s">
        <v>100</v>
      </c>
      <c r="B25" s="8">
        <f>+12019474263</f>
        <v>12019474263</v>
      </c>
      <c r="C25" s="7">
        <v>3.5</v>
      </c>
      <c r="D25" s="7">
        <v>6.0</v>
      </c>
      <c r="E25" s="9" t="s">
        <v>101</v>
      </c>
      <c r="F25" s="7" t="s">
        <v>68</v>
      </c>
      <c r="G25" s="7" t="s">
        <v>102</v>
      </c>
      <c r="H25" s="7" t="s">
        <v>87</v>
      </c>
      <c r="I25" s="7" t="s">
        <v>37</v>
      </c>
    </row>
    <row r="26">
      <c r="A26" s="7" t="s">
        <v>103</v>
      </c>
      <c r="B26" s="8">
        <f>+17324666248</f>
        <v>17324666248</v>
      </c>
      <c r="C26" s="7">
        <v>5.0</v>
      </c>
      <c r="D26" s="7">
        <v>2.0</v>
      </c>
      <c r="E26" s="9" t="s">
        <v>104</v>
      </c>
      <c r="F26" s="7" t="s">
        <v>68</v>
      </c>
      <c r="G26" s="7" t="s">
        <v>105</v>
      </c>
      <c r="H26" s="7" t="s">
        <v>23</v>
      </c>
      <c r="I26" s="7" t="s">
        <v>106</v>
      </c>
    </row>
    <row r="27">
      <c r="A27" s="7" t="s">
        <v>107</v>
      </c>
      <c r="B27" s="8">
        <f>+12014065987</f>
        <v>12014065987</v>
      </c>
      <c r="C27" s="7">
        <v>4.4</v>
      </c>
      <c r="D27" s="7">
        <v>5.0</v>
      </c>
      <c r="E27" s="9" t="s">
        <v>108</v>
      </c>
      <c r="F27" s="7" t="s">
        <v>68</v>
      </c>
      <c r="G27" s="7" t="s">
        <v>109</v>
      </c>
      <c r="H27" s="7" t="s">
        <v>41</v>
      </c>
      <c r="I27" s="7" t="s">
        <v>37</v>
      </c>
    </row>
    <row r="28">
      <c r="A28" s="7" t="s">
        <v>110</v>
      </c>
      <c r="B28" s="8">
        <f>+12013439060</f>
        <v>12013439060</v>
      </c>
      <c r="C28" s="10"/>
      <c r="D28" s="7">
        <v>0.0</v>
      </c>
      <c r="E28" s="9" t="s">
        <v>111</v>
      </c>
      <c r="F28" s="7" t="s">
        <v>68</v>
      </c>
      <c r="G28" s="7" t="s">
        <v>112</v>
      </c>
      <c r="H28" s="7" t="s">
        <v>98</v>
      </c>
      <c r="I28" s="7" t="s">
        <v>37</v>
      </c>
    </row>
    <row r="29">
      <c r="A29" s="7" t="s">
        <v>113</v>
      </c>
      <c r="B29" s="8">
        <f>+15512011745</f>
        <v>15512011745</v>
      </c>
      <c r="C29" s="7">
        <v>3.5</v>
      </c>
      <c r="D29" s="7">
        <v>2.0</v>
      </c>
      <c r="E29" s="9" t="s">
        <v>114</v>
      </c>
      <c r="F29" s="7" t="s">
        <v>68</v>
      </c>
      <c r="G29" s="7" t="s">
        <v>115</v>
      </c>
      <c r="H29" s="7" t="s">
        <v>87</v>
      </c>
      <c r="I29" s="7" t="s">
        <v>116</v>
      </c>
    </row>
    <row r="30">
      <c r="A30" s="7" t="s">
        <v>117</v>
      </c>
      <c r="B30" s="8">
        <f>+12019438079</f>
        <v>12019438079</v>
      </c>
      <c r="C30" s="7">
        <v>3.8</v>
      </c>
      <c r="D30" s="7">
        <v>6.0</v>
      </c>
      <c r="E30" s="9" t="s">
        <v>118</v>
      </c>
      <c r="F30" s="7" t="s">
        <v>68</v>
      </c>
      <c r="G30" s="7" t="s">
        <v>119</v>
      </c>
      <c r="H30" s="7" t="s">
        <v>120</v>
      </c>
      <c r="I30" s="7" t="s">
        <v>121</v>
      </c>
    </row>
    <row r="31">
      <c r="A31" s="7" t="s">
        <v>110</v>
      </c>
      <c r="B31" s="8">
        <f>+12013439060</f>
        <v>12013439060</v>
      </c>
      <c r="C31" s="7">
        <v>5.0</v>
      </c>
      <c r="D31" s="7">
        <v>1.0</v>
      </c>
      <c r="E31" s="9" t="s">
        <v>122</v>
      </c>
      <c r="F31" s="7" t="s">
        <v>68</v>
      </c>
      <c r="G31" s="7" t="s">
        <v>123</v>
      </c>
      <c r="H31" s="7" t="s">
        <v>28</v>
      </c>
      <c r="I31" s="7" t="s">
        <v>37</v>
      </c>
    </row>
    <row r="32">
      <c r="A32" s="7" t="s">
        <v>124</v>
      </c>
      <c r="B32" s="8">
        <f>+12016627269</f>
        <v>12016627269</v>
      </c>
      <c r="C32" s="7">
        <v>5.0</v>
      </c>
      <c r="D32" s="7">
        <v>6.0</v>
      </c>
      <c r="E32" s="9" t="s">
        <v>125</v>
      </c>
      <c r="F32" s="7" t="s">
        <v>68</v>
      </c>
      <c r="G32" s="7" t="s">
        <v>126</v>
      </c>
      <c r="H32" s="7" t="s">
        <v>127</v>
      </c>
      <c r="I32" s="7" t="s">
        <v>37</v>
      </c>
    </row>
    <row r="33">
      <c r="A33" s="7" t="s">
        <v>128</v>
      </c>
      <c r="B33" s="8">
        <f>+12013460194</f>
        <v>12013460194</v>
      </c>
      <c r="C33" s="7">
        <v>3.0</v>
      </c>
      <c r="D33" s="7">
        <v>2.0</v>
      </c>
      <c r="E33" s="9" t="s">
        <v>129</v>
      </c>
      <c r="F33" s="7" t="s">
        <v>68</v>
      </c>
      <c r="G33" s="7" t="s">
        <v>130</v>
      </c>
      <c r="H33" s="7" t="s">
        <v>131</v>
      </c>
      <c r="I33" s="7" t="s">
        <v>37</v>
      </c>
    </row>
    <row r="34">
      <c r="A34" s="7" t="s">
        <v>132</v>
      </c>
      <c r="B34" s="8">
        <f>+15512965348</f>
        <v>15512965348</v>
      </c>
      <c r="C34" s="7">
        <v>5.0</v>
      </c>
      <c r="D34" s="7">
        <v>9.0</v>
      </c>
      <c r="E34" s="9" t="s">
        <v>133</v>
      </c>
      <c r="F34" s="7" t="s">
        <v>68</v>
      </c>
      <c r="G34" s="7" t="s">
        <v>134</v>
      </c>
      <c r="H34" s="7" t="s">
        <v>135</v>
      </c>
      <c r="I34" s="7" t="s">
        <v>136</v>
      </c>
    </row>
    <row r="35">
      <c r="A35" s="7" t="s">
        <v>137</v>
      </c>
      <c r="B35" s="8">
        <f>+15512011754</f>
        <v>15512011754</v>
      </c>
      <c r="C35" s="7">
        <v>5.0</v>
      </c>
      <c r="D35" s="7">
        <v>2.0</v>
      </c>
      <c r="E35" s="9" t="s">
        <v>138</v>
      </c>
      <c r="F35" s="7" t="s">
        <v>68</v>
      </c>
      <c r="G35" s="7" t="s">
        <v>139</v>
      </c>
      <c r="H35" s="7" t="s">
        <v>79</v>
      </c>
      <c r="I35" s="7" t="s">
        <v>140</v>
      </c>
    </row>
    <row r="36">
      <c r="A36" s="7" t="s">
        <v>141</v>
      </c>
      <c r="B36" s="8">
        <f t="shared" ref="B36:B37" si="1">+12014402100</f>
        <v>12014402100</v>
      </c>
      <c r="C36" s="7">
        <v>3.5</v>
      </c>
      <c r="D36" s="7">
        <v>10.0</v>
      </c>
      <c r="E36" s="9" t="s">
        <v>142</v>
      </c>
      <c r="F36" s="7" t="s">
        <v>143</v>
      </c>
      <c r="G36" s="7" t="s">
        <v>144</v>
      </c>
      <c r="H36" s="7" t="s">
        <v>23</v>
      </c>
      <c r="I36" s="7" t="s">
        <v>145</v>
      </c>
    </row>
    <row r="37">
      <c r="A37" s="7" t="s">
        <v>146</v>
      </c>
      <c r="B37" s="8">
        <f t="shared" si="1"/>
        <v>12014402100</v>
      </c>
      <c r="C37" s="7">
        <v>4.3</v>
      </c>
      <c r="D37" s="7">
        <v>11.0</v>
      </c>
      <c r="E37" s="9" t="s">
        <v>147</v>
      </c>
      <c r="F37" s="7" t="s">
        <v>143</v>
      </c>
      <c r="G37" s="7" t="s">
        <v>148</v>
      </c>
      <c r="H37" s="7" t="s">
        <v>23</v>
      </c>
      <c r="I37" s="7" t="s">
        <v>149</v>
      </c>
    </row>
    <row r="38">
      <c r="A38" s="7" t="s">
        <v>150</v>
      </c>
      <c r="B38" s="8">
        <f>+12012676700</f>
        <v>12012676700</v>
      </c>
      <c r="C38" s="7">
        <v>2.3</v>
      </c>
      <c r="D38" s="7">
        <v>3.0</v>
      </c>
      <c r="E38" s="9" t="s">
        <v>151</v>
      </c>
      <c r="F38" s="7" t="s">
        <v>143</v>
      </c>
      <c r="G38" s="7" t="s">
        <v>152</v>
      </c>
      <c r="H38" s="7" t="s">
        <v>23</v>
      </c>
      <c r="I38" s="7" t="s">
        <v>37</v>
      </c>
    </row>
    <row r="39">
      <c r="A39" s="7" t="s">
        <v>153</v>
      </c>
      <c r="B39" s="8">
        <f>+12016763003</f>
        <v>12016763003</v>
      </c>
      <c r="C39" s="7">
        <v>4.3</v>
      </c>
      <c r="D39" s="7">
        <v>62.0</v>
      </c>
      <c r="E39" s="9" t="s">
        <v>154</v>
      </c>
      <c r="F39" s="7" t="s">
        <v>155</v>
      </c>
      <c r="G39" s="7" t="s">
        <v>156</v>
      </c>
      <c r="H39" s="7" t="s">
        <v>87</v>
      </c>
      <c r="I39" s="7" t="s">
        <v>157</v>
      </c>
    </row>
    <row r="40">
      <c r="A40" s="7" t="s">
        <v>158</v>
      </c>
      <c r="B40" s="8">
        <f>+12014615171</f>
        <v>12014615171</v>
      </c>
      <c r="C40" s="7">
        <v>4.6</v>
      </c>
      <c r="D40" s="7">
        <v>45.0</v>
      </c>
      <c r="E40" s="9" t="s">
        <v>159</v>
      </c>
      <c r="F40" s="7" t="s">
        <v>143</v>
      </c>
      <c r="G40" s="7" t="s">
        <v>160</v>
      </c>
      <c r="H40" s="7" t="s">
        <v>87</v>
      </c>
      <c r="I40" s="7" t="s">
        <v>161</v>
      </c>
    </row>
    <row r="41">
      <c r="A41" s="7" t="s">
        <v>162</v>
      </c>
      <c r="B41" s="8">
        <f>+12019446500</f>
        <v>12019446500</v>
      </c>
      <c r="C41" s="7">
        <v>5.0</v>
      </c>
      <c r="D41" s="7">
        <v>4.0</v>
      </c>
      <c r="E41" s="9" t="s">
        <v>163</v>
      </c>
      <c r="F41" s="7" t="s">
        <v>164</v>
      </c>
      <c r="G41" s="7" t="s">
        <v>165</v>
      </c>
      <c r="H41" s="7" t="s">
        <v>98</v>
      </c>
      <c r="I41" s="7" t="s">
        <v>166</v>
      </c>
    </row>
    <row r="42">
      <c r="A42" s="7" t="s">
        <v>167</v>
      </c>
      <c r="B42" s="8">
        <f>+12016411600</f>
        <v>12016411600</v>
      </c>
      <c r="C42" s="7">
        <v>4.8</v>
      </c>
      <c r="D42" s="7">
        <v>20.0</v>
      </c>
      <c r="E42" s="9" t="s">
        <v>168</v>
      </c>
      <c r="F42" s="7" t="s">
        <v>164</v>
      </c>
      <c r="G42" s="7" t="s">
        <v>169</v>
      </c>
      <c r="H42" s="7" t="s">
        <v>44</v>
      </c>
      <c r="I42" s="7" t="s">
        <v>170</v>
      </c>
    </row>
    <row r="43">
      <c r="A43" s="7" t="s">
        <v>171</v>
      </c>
      <c r="B43" s="8">
        <f t="shared" ref="B43:B44" si="2">+12019445999</f>
        <v>12019445999</v>
      </c>
      <c r="C43" s="7">
        <v>5.0</v>
      </c>
      <c r="D43" s="7">
        <v>1.0</v>
      </c>
      <c r="E43" s="9" t="s">
        <v>172</v>
      </c>
      <c r="F43" s="7" t="s">
        <v>164</v>
      </c>
      <c r="G43" s="7" t="s">
        <v>173</v>
      </c>
      <c r="H43" s="7" t="s">
        <v>87</v>
      </c>
      <c r="I43" s="7" t="s">
        <v>37</v>
      </c>
    </row>
    <row r="44">
      <c r="A44" s="7" t="s">
        <v>174</v>
      </c>
      <c r="B44" s="8">
        <f t="shared" si="2"/>
        <v>12019445999</v>
      </c>
      <c r="C44" s="7">
        <v>4.7</v>
      </c>
      <c r="D44" s="7">
        <v>23.0</v>
      </c>
      <c r="E44" s="9" t="s">
        <v>175</v>
      </c>
      <c r="F44" s="7" t="s">
        <v>164</v>
      </c>
      <c r="G44" s="7" t="s">
        <v>173</v>
      </c>
      <c r="H44" s="7" t="s">
        <v>87</v>
      </c>
      <c r="I44" s="7" t="s">
        <v>37</v>
      </c>
    </row>
    <row r="45">
      <c r="A45" s="7" t="s">
        <v>176</v>
      </c>
      <c r="B45" s="8">
        <f>+12019453660</f>
        <v>12019453660</v>
      </c>
      <c r="C45" s="10"/>
      <c r="D45" s="7">
        <v>0.0</v>
      </c>
      <c r="E45" s="9" t="s">
        <v>177</v>
      </c>
      <c r="F45" s="7" t="s">
        <v>164</v>
      </c>
      <c r="G45" s="7" t="s">
        <v>178</v>
      </c>
      <c r="H45" s="7" t="s">
        <v>41</v>
      </c>
      <c r="I45" s="7" t="s">
        <v>37</v>
      </c>
    </row>
    <row r="46">
      <c r="A46" s="7" t="s">
        <v>179</v>
      </c>
      <c r="B46" s="8">
        <f>+12015306872</f>
        <v>12015306872</v>
      </c>
      <c r="C46" s="7">
        <v>5.0</v>
      </c>
      <c r="D46" s="7">
        <v>7.0</v>
      </c>
      <c r="E46" s="9" t="s">
        <v>180</v>
      </c>
      <c r="F46" s="7" t="s">
        <v>164</v>
      </c>
      <c r="G46" s="7" t="s">
        <v>181</v>
      </c>
      <c r="H46" s="7" t="s">
        <v>32</v>
      </c>
      <c r="I46" s="7" t="s">
        <v>182</v>
      </c>
    </row>
    <row r="47">
      <c r="A47" s="7" t="s">
        <v>183</v>
      </c>
      <c r="B47" s="8">
        <f>+12019446500</f>
        <v>12019446500</v>
      </c>
      <c r="C47" s="7">
        <v>5.0</v>
      </c>
      <c r="D47" s="7">
        <v>31.0</v>
      </c>
      <c r="E47" s="9" t="s">
        <v>184</v>
      </c>
      <c r="F47" s="7" t="s">
        <v>164</v>
      </c>
      <c r="G47" s="7" t="s">
        <v>185</v>
      </c>
      <c r="H47" s="7" t="s">
        <v>98</v>
      </c>
      <c r="I47" s="7" t="s">
        <v>186</v>
      </c>
    </row>
    <row r="48">
      <c r="A48" s="7" t="s">
        <v>187</v>
      </c>
      <c r="B48" s="8">
        <f>+12014614989</f>
        <v>12014614989</v>
      </c>
      <c r="C48" s="7">
        <v>4.3</v>
      </c>
      <c r="D48" s="7">
        <v>6.0</v>
      </c>
      <c r="E48" s="9" t="s">
        <v>188</v>
      </c>
      <c r="F48" s="7" t="s">
        <v>189</v>
      </c>
      <c r="G48" s="7" t="s">
        <v>190</v>
      </c>
      <c r="H48" s="7" t="s">
        <v>87</v>
      </c>
      <c r="I48" s="7" t="s">
        <v>191</v>
      </c>
    </row>
    <row r="49">
      <c r="A49" s="7" t="s">
        <v>192</v>
      </c>
      <c r="B49" s="10"/>
      <c r="C49" s="10"/>
      <c r="D49" s="7">
        <v>0.0</v>
      </c>
      <c r="E49" s="9" t="s">
        <v>193</v>
      </c>
      <c r="F49" s="7" t="s">
        <v>189</v>
      </c>
      <c r="G49" s="10"/>
      <c r="H49" s="7" t="s">
        <v>41</v>
      </c>
      <c r="I49" s="7" t="s">
        <v>37</v>
      </c>
    </row>
    <row r="50">
      <c r="A50" s="7" t="s">
        <v>194</v>
      </c>
      <c r="B50" s="8">
        <f>+12012280203</f>
        <v>12012280203</v>
      </c>
      <c r="C50" s="7">
        <v>5.0</v>
      </c>
      <c r="D50" s="7">
        <v>4.0</v>
      </c>
      <c r="E50" s="9" t="s">
        <v>195</v>
      </c>
      <c r="F50" s="7" t="s">
        <v>196</v>
      </c>
      <c r="G50" s="7" t="s">
        <v>197</v>
      </c>
      <c r="H50" s="7" t="s">
        <v>41</v>
      </c>
      <c r="I50" s="7" t="s">
        <v>198</v>
      </c>
    </row>
    <row r="51">
      <c r="A51" s="7" t="s">
        <v>199</v>
      </c>
      <c r="B51" s="8">
        <f>+12013288102</f>
        <v>12013288102</v>
      </c>
      <c r="C51" s="7">
        <v>1.0</v>
      </c>
      <c r="D51" s="7">
        <v>2.0</v>
      </c>
      <c r="E51" s="9" t="s">
        <v>200</v>
      </c>
      <c r="F51" s="7" t="s">
        <v>189</v>
      </c>
      <c r="G51" s="7" t="s">
        <v>201</v>
      </c>
      <c r="H51" s="7" t="s">
        <v>87</v>
      </c>
      <c r="I51" s="7" t="s">
        <v>37</v>
      </c>
    </row>
    <row r="52">
      <c r="A52" s="7" t="s">
        <v>202</v>
      </c>
      <c r="B52" s="8">
        <f>+12016747221</f>
        <v>12016747221</v>
      </c>
      <c r="C52" s="7">
        <v>5.0</v>
      </c>
      <c r="D52" s="7">
        <v>20.0</v>
      </c>
      <c r="E52" s="9" t="s">
        <v>203</v>
      </c>
      <c r="F52" s="7" t="s">
        <v>189</v>
      </c>
      <c r="G52" s="7" t="s">
        <v>204</v>
      </c>
      <c r="H52" s="7" t="s">
        <v>87</v>
      </c>
      <c r="I52" s="7" t="s">
        <v>205</v>
      </c>
    </row>
    <row r="53">
      <c r="A53" s="7" t="s">
        <v>206</v>
      </c>
      <c r="B53" s="8">
        <f>+18628810219</f>
        <v>18628810219</v>
      </c>
      <c r="C53" s="10"/>
      <c r="D53" s="7">
        <v>0.0</v>
      </c>
      <c r="E53" s="9" t="s">
        <v>207</v>
      </c>
      <c r="F53" s="7" t="s">
        <v>189</v>
      </c>
      <c r="G53" s="7" t="s">
        <v>208</v>
      </c>
      <c r="H53" s="7" t="s">
        <v>41</v>
      </c>
      <c r="I53" s="7" t="s">
        <v>18</v>
      </c>
    </row>
    <row r="54">
      <c r="A54" s="7" t="s">
        <v>209</v>
      </c>
      <c r="B54" s="8">
        <f>+12014966035</f>
        <v>12014966035</v>
      </c>
      <c r="C54" s="10"/>
      <c r="D54" s="7">
        <v>0.0</v>
      </c>
      <c r="E54" s="9" t="s">
        <v>210</v>
      </c>
      <c r="F54" s="7" t="s">
        <v>189</v>
      </c>
      <c r="G54" s="7" t="s">
        <v>211</v>
      </c>
      <c r="H54" s="7" t="s">
        <v>120</v>
      </c>
      <c r="I54" s="7" t="s">
        <v>212</v>
      </c>
    </row>
    <row r="55">
      <c r="A55" s="7" t="s">
        <v>213</v>
      </c>
      <c r="B55" s="10"/>
      <c r="C55" s="10"/>
      <c r="D55" s="7">
        <v>0.0</v>
      </c>
      <c r="E55" s="9" t="s">
        <v>214</v>
      </c>
      <c r="F55" s="7" t="s">
        <v>189</v>
      </c>
      <c r="G55" s="10"/>
      <c r="H55" s="7" t="s">
        <v>41</v>
      </c>
      <c r="I55" s="7" t="s">
        <v>37</v>
      </c>
    </row>
    <row r="56">
      <c r="A56" s="7" t="s">
        <v>215</v>
      </c>
      <c r="B56" s="8">
        <f>+12018868888</f>
        <v>12018868888</v>
      </c>
      <c r="C56" s="7">
        <v>3.9</v>
      </c>
      <c r="D56" s="7">
        <v>10.0</v>
      </c>
      <c r="E56" s="9" t="s">
        <v>216</v>
      </c>
      <c r="F56" s="7" t="s">
        <v>189</v>
      </c>
      <c r="G56" s="7" t="s">
        <v>217</v>
      </c>
      <c r="H56" s="7" t="s">
        <v>131</v>
      </c>
      <c r="I56" s="7" t="s">
        <v>121</v>
      </c>
    </row>
    <row r="57">
      <c r="A57" s="7" t="s">
        <v>218</v>
      </c>
      <c r="B57" s="8">
        <f>+12013906093</f>
        <v>12013906093</v>
      </c>
      <c r="C57" s="7">
        <v>1.0</v>
      </c>
      <c r="D57" s="7">
        <v>1.0</v>
      </c>
      <c r="E57" s="9" t="s">
        <v>219</v>
      </c>
      <c r="F57" s="7" t="s">
        <v>189</v>
      </c>
      <c r="G57" s="7" t="s">
        <v>220</v>
      </c>
      <c r="H57" s="7" t="s">
        <v>120</v>
      </c>
      <c r="I57" s="7" t="s">
        <v>37</v>
      </c>
    </row>
    <row r="58">
      <c r="A58" s="7" t="s">
        <v>221</v>
      </c>
      <c r="B58" s="8">
        <f>+12019412360</f>
        <v>12019412360</v>
      </c>
      <c r="C58" s="7">
        <v>3.6</v>
      </c>
      <c r="D58" s="7">
        <v>5.0</v>
      </c>
      <c r="E58" s="9" t="s">
        <v>222</v>
      </c>
      <c r="F58" s="7" t="s">
        <v>223</v>
      </c>
      <c r="G58" s="7" t="s">
        <v>224</v>
      </c>
      <c r="H58" s="7" t="s">
        <v>56</v>
      </c>
      <c r="I58" s="7" t="s">
        <v>37</v>
      </c>
    </row>
    <row r="59">
      <c r="A59" s="7" t="s">
        <v>225</v>
      </c>
      <c r="B59" s="8">
        <f>+12019441087</f>
        <v>12019441087</v>
      </c>
      <c r="C59" s="7">
        <v>5.0</v>
      </c>
      <c r="D59" s="7">
        <v>1.0</v>
      </c>
      <c r="E59" s="9" t="s">
        <v>226</v>
      </c>
      <c r="F59" s="7" t="s">
        <v>227</v>
      </c>
      <c r="G59" s="7" t="s">
        <v>228</v>
      </c>
      <c r="H59" s="7" t="s">
        <v>87</v>
      </c>
      <c r="I59" s="7" t="s">
        <v>37</v>
      </c>
    </row>
    <row r="60">
      <c r="A60" s="7" t="s">
        <v>229</v>
      </c>
      <c r="B60" s="8">
        <f>+12019458812</f>
        <v>12019458812</v>
      </c>
      <c r="C60" s="7">
        <v>4.2</v>
      </c>
      <c r="D60" s="7">
        <v>5.0</v>
      </c>
      <c r="E60" s="9" t="s">
        <v>230</v>
      </c>
      <c r="F60" s="7" t="s">
        <v>231</v>
      </c>
      <c r="G60" s="7" t="s">
        <v>232</v>
      </c>
      <c r="H60" s="7" t="s">
        <v>41</v>
      </c>
      <c r="I60" s="7" t="s">
        <v>37</v>
      </c>
    </row>
    <row r="61">
      <c r="A61" s="7" t="s">
        <v>233</v>
      </c>
      <c r="B61" s="8">
        <f>+12014403400</f>
        <v>12014403400</v>
      </c>
      <c r="C61" s="10"/>
      <c r="D61" s="7">
        <v>0.0</v>
      </c>
      <c r="E61" s="9" t="s">
        <v>234</v>
      </c>
      <c r="F61" s="7" t="s">
        <v>235</v>
      </c>
      <c r="G61" s="7" t="s">
        <v>236</v>
      </c>
      <c r="H61" s="7" t="s">
        <v>23</v>
      </c>
      <c r="I61" s="7" t="s">
        <v>37</v>
      </c>
    </row>
    <row r="62">
      <c r="A62" s="7" t="s">
        <v>237</v>
      </c>
      <c r="B62" s="8">
        <f>+12019453900</f>
        <v>12019453900</v>
      </c>
      <c r="C62" s="7">
        <v>4.7</v>
      </c>
      <c r="D62" s="7">
        <v>3.0</v>
      </c>
      <c r="E62" s="9" t="s">
        <v>238</v>
      </c>
      <c r="F62" s="7" t="s">
        <v>235</v>
      </c>
      <c r="G62" s="7" t="s">
        <v>232</v>
      </c>
      <c r="H62" s="7" t="s">
        <v>41</v>
      </c>
      <c r="I62" s="7" t="s">
        <v>37</v>
      </c>
    </row>
    <row r="63">
      <c r="A63" s="7" t="s">
        <v>239</v>
      </c>
      <c r="B63" s="8">
        <f>+12019458812</f>
        <v>12019458812</v>
      </c>
      <c r="C63" s="7">
        <v>5.0</v>
      </c>
      <c r="D63" s="7">
        <v>3.0</v>
      </c>
      <c r="E63" s="9" t="s">
        <v>240</v>
      </c>
      <c r="F63" s="7" t="s">
        <v>235</v>
      </c>
      <c r="G63" s="7" t="s">
        <v>232</v>
      </c>
      <c r="H63" s="7" t="s">
        <v>41</v>
      </c>
      <c r="I63" s="7" t="s">
        <v>37</v>
      </c>
    </row>
    <row r="64">
      <c r="A64" s="7" t="s">
        <v>241</v>
      </c>
      <c r="B64" s="8">
        <f>+12019410070</f>
        <v>12019410070</v>
      </c>
      <c r="C64" s="7">
        <v>4.6</v>
      </c>
      <c r="D64" s="7">
        <v>79.0</v>
      </c>
      <c r="E64" s="9" t="s">
        <v>242</v>
      </c>
      <c r="F64" s="7" t="s">
        <v>243</v>
      </c>
      <c r="G64" s="7" t="s">
        <v>244</v>
      </c>
      <c r="H64" s="7" t="s">
        <v>87</v>
      </c>
      <c r="I64" s="7" t="s">
        <v>245</v>
      </c>
    </row>
    <row r="65">
      <c r="A65" s="7" t="s">
        <v>246</v>
      </c>
      <c r="B65" s="8">
        <f>+12018140123</f>
        <v>12018140123</v>
      </c>
      <c r="C65" s="7">
        <v>4.7</v>
      </c>
      <c r="D65" s="7">
        <v>31.0</v>
      </c>
      <c r="E65" s="9" t="s">
        <v>247</v>
      </c>
      <c r="F65" s="7" t="s">
        <v>243</v>
      </c>
      <c r="G65" s="7" t="s">
        <v>248</v>
      </c>
      <c r="H65" s="7" t="s">
        <v>23</v>
      </c>
      <c r="I65" s="7" t="s">
        <v>245</v>
      </c>
    </row>
    <row r="66">
      <c r="A66" s="7" t="s">
        <v>249</v>
      </c>
      <c r="B66" s="8">
        <f>+12016414495</f>
        <v>12016414495</v>
      </c>
      <c r="C66" s="7">
        <v>4.2</v>
      </c>
      <c r="D66" s="7">
        <v>17.0</v>
      </c>
      <c r="E66" s="9" t="s">
        <v>250</v>
      </c>
      <c r="F66" s="7" t="s">
        <v>243</v>
      </c>
      <c r="G66" s="7" t="s">
        <v>251</v>
      </c>
      <c r="H66" s="7" t="s">
        <v>44</v>
      </c>
      <c r="I66" s="7" t="s">
        <v>252</v>
      </c>
    </row>
    <row r="67">
      <c r="A67" s="7" t="s">
        <v>253</v>
      </c>
      <c r="B67" s="8">
        <f>+12019454392</f>
        <v>12019454392</v>
      </c>
      <c r="C67" s="7">
        <v>4.9</v>
      </c>
      <c r="D67" s="7">
        <v>40.0</v>
      </c>
      <c r="E67" s="9" t="s">
        <v>254</v>
      </c>
      <c r="F67" s="7" t="s">
        <v>243</v>
      </c>
      <c r="G67" s="7" t="s">
        <v>255</v>
      </c>
      <c r="H67" s="7" t="s">
        <v>41</v>
      </c>
      <c r="I67" s="7" t="s">
        <v>256</v>
      </c>
    </row>
    <row r="68">
      <c r="A68" s="7" t="s">
        <v>257</v>
      </c>
      <c r="B68" s="8">
        <f>+12014403365</f>
        <v>12014403365</v>
      </c>
      <c r="C68" s="7">
        <v>4.4</v>
      </c>
      <c r="D68" s="7">
        <v>13.0</v>
      </c>
      <c r="E68" s="9" t="s">
        <v>258</v>
      </c>
      <c r="F68" s="7" t="s">
        <v>243</v>
      </c>
      <c r="G68" s="7" t="s">
        <v>259</v>
      </c>
      <c r="H68" s="7" t="s">
        <v>44</v>
      </c>
      <c r="I68" s="7" t="s">
        <v>260</v>
      </c>
    </row>
    <row r="69">
      <c r="A69" s="7" t="s">
        <v>261</v>
      </c>
      <c r="B69" s="8">
        <f>+12019418288</f>
        <v>12019418288</v>
      </c>
      <c r="C69" s="7">
        <v>5.0</v>
      </c>
      <c r="D69" s="7">
        <v>8.0</v>
      </c>
      <c r="E69" s="9" t="s">
        <v>262</v>
      </c>
      <c r="F69" s="7" t="s">
        <v>243</v>
      </c>
      <c r="G69" s="7" t="s">
        <v>263</v>
      </c>
      <c r="H69" s="7" t="s">
        <v>41</v>
      </c>
      <c r="I69" s="7" t="s">
        <v>264</v>
      </c>
    </row>
    <row r="70">
      <c r="A70" s="7" t="s">
        <v>265</v>
      </c>
      <c r="B70" s="8">
        <f>+12014870334</f>
        <v>12014870334</v>
      </c>
      <c r="C70" s="7">
        <v>4.7</v>
      </c>
      <c r="D70" s="7">
        <v>71.0</v>
      </c>
      <c r="E70" s="9" t="s">
        <v>266</v>
      </c>
      <c r="F70" s="7" t="s">
        <v>243</v>
      </c>
      <c r="G70" s="7" t="s">
        <v>267</v>
      </c>
      <c r="H70" s="7" t="s">
        <v>28</v>
      </c>
      <c r="I70" s="7" t="s">
        <v>268</v>
      </c>
    </row>
    <row r="71">
      <c r="A71" s="7" t="s">
        <v>269</v>
      </c>
      <c r="B71" s="8">
        <f>+12019417333</f>
        <v>12019417333</v>
      </c>
      <c r="C71" s="7">
        <v>4.7</v>
      </c>
      <c r="D71" s="7">
        <v>154.0</v>
      </c>
      <c r="E71" s="9" t="s">
        <v>270</v>
      </c>
      <c r="F71" s="7" t="s">
        <v>243</v>
      </c>
      <c r="G71" s="7" t="s">
        <v>271</v>
      </c>
      <c r="H71" s="7" t="s">
        <v>41</v>
      </c>
      <c r="I71" s="7" t="s">
        <v>272</v>
      </c>
    </row>
    <row r="72">
      <c r="A72" s="7" t="s">
        <v>273</v>
      </c>
      <c r="B72" s="8">
        <f>+12014020205</f>
        <v>12014020205</v>
      </c>
      <c r="C72" s="7">
        <v>4.7</v>
      </c>
      <c r="D72" s="7">
        <v>103.0</v>
      </c>
      <c r="E72" s="9" t="s">
        <v>274</v>
      </c>
      <c r="F72" s="7" t="s">
        <v>243</v>
      </c>
      <c r="G72" s="7" t="s">
        <v>275</v>
      </c>
      <c r="H72" s="7" t="s">
        <v>44</v>
      </c>
      <c r="I72" s="7" t="s">
        <v>268</v>
      </c>
    </row>
    <row r="73">
      <c r="A73" s="7" t="s">
        <v>276</v>
      </c>
      <c r="B73" s="8">
        <f>+12013731470</f>
        <v>12013731470</v>
      </c>
      <c r="C73" s="7">
        <v>4.7</v>
      </c>
      <c r="D73" s="7">
        <v>16.0</v>
      </c>
      <c r="E73" s="9" t="s">
        <v>277</v>
      </c>
      <c r="F73" s="7" t="s">
        <v>243</v>
      </c>
      <c r="G73" s="7" t="s">
        <v>278</v>
      </c>
      <c r="H73" s="7" t="s">
        <v>44</v>
      </c>
      <c r="I73" s="7" t="s">
        <v>279</v>
      </c>
    </row>
    <row r="74">
      <c r="A74" s="7" t="s">
        <v>280</v>
      </c>
      <c r="B74" s="8">
        <f>+12019431155</f>
        <v>12019431155</v>
      </c>
      <c r="C74" s="7">
        <v>4.7</v>
      </c>
      <c r="D74" s="7">
        <v>120.0</v>
      </c>
      <c r="E74" s="9" t="s">
        <v>281</v>
      </c>
      <c r="F74" s="7" t="s">
        <v>282</v>
      </c>
      <c r="G74" s="7" t="s">
        <v>283</v>
      </c>
      <c r="H74" s="7" t="s">
        <v>87</v>
      </c>
      <c r="I74" s="7" t="s">
        <v>284</v>
      </c>
    </row>
    <row r="75">
      <c r="A75" s="7" t="s">
        <v>285</v>
      </c>
      <c r="B75" s="8">
        <f>+17866263627</f>
        <v>17866263627</v>
      </c>
      <c r="C75" s="7">
        <v>5.0</v>
      </c>
      <c r="D75" s="7">
        <v>1.0</v>
      </c>
      <c r="E75" s="9" t="s">
        <v>286</v>
      </c>
      <c r="F75" s="7" t="s">
        <v>243</v>
      </c>
      <c r="G75" s="7" t="s">
        <v>287</v>
      </c>
      <c r="H75" s="7" t="s">
        <v>51</v>
      </c>
      <c r="I75" s="7" t="s">
        <v>37</v>
      </c>
    </row>
    <row r="76">
      <c r="A76" s="7" t="s">
        <v>288</v>
      </c>
      <c r="B76" s="8">
        <f>+12019418486</f>
        <v>12019418486</v>
      </c>
      <c r="C76" s="7">
        <v>4.7</v>
      </c>
      <c r="D76" s="7">
        <v>26.0</v>
      </c>
      <c r="E76" s="9" t="s">
        <v>289</v>
      </c>
      <c r="F76" s="7" t="s">
        <v>243</v>
      </c>
      <c r="G76" s="7" t="s">
        <v>290</v>
      </c>
      <c r="H76" s="7" t="s">
        <v>41</v>
      </c>
      <c r="I76" s="7" t="s">
        <v>291</v>
      </c>
    </row>
    <row r="77">
      <c r="A77" s="7" t="s">
        <v>292</v>
      </c>
      <c r="B77" s="8">
        <f>+12015920009</f>
        <v>12015920009</v>
      </c>
      <c r="C77" s="7">
        <v>3.5</v>
      </c>
      <c r="D77" s="7">
        <v>187.0</v>
      </c>
      <c r="E77" s="9" t="s">
        <v>293</v>
      </c>
      <c r="F77" s="7" t="s">
        <v>243</v>
      </c>
      <c r="G77" s="7" t="s">
        <v>294</v>
      </c>
      <c r="H77" s="7" t="s">
        <v>87</v>
      </c>
      <c r="I77" s="7" t="s">
        <v>295</v>
      </c>
    </row>
    <row r="78">
      <c r="A78" s="7" t="s">
        <v>296</v>
      </c>
      <c r="B78" s="8">
        <f>+12014824113</f>
        <v>12014824113</v>
      </c>
      <c r="C78" s="7">
        <v>4.7</v>
      </c>
      <c r="D78" s="7">
        <v>189.0</v>
      </c>
      <c r="E78" s="9" t="s">
        <v>297</v>
      </c>
      <c r="F78" s="7" t="s">
        <v>243</v>
      </c>
      <c r="G78" s="7" t="s">
        <v>298</v>
      </c>
      <c r="H78" s="7" t="s">
        <v>87</v>
      </c>
      <c r="I78" s="7" t="s">
        <v>268</v>
      </c>
    </row>
    <row r="79">
      <c r="A79" s="7" t="s">
        <v>299</v>
      </c>
      <c r="B79" s="8">
        <f>+12019432878</f>
        <v>12019432878</v>
      </c>
      <c r="C79" s="7">
        <v>4.4</v>
      </c>
      <c r="D79" s="7">
        <v>40.0</v>
      </c>
      <c r="E79" s="9" t="s">
        <v>300</v>
      </c>
      <c r="F79" s="7" t="s">
        <v>243</v>
      </c>
      <c r="G79" s="7" t="s">
        <v>301</v>
      </c>
      <c r="H79" s="7" t="s">
        <v>41</v>
      </c>
      <c r="I79" s="7" t="s">
        <v>302</v>
      </c>
    </row>
    <row r="80">
      <c r="A80" s="7" t="s">
        <v>303</v>
      </c>
      <c r="B80" s="8">
        <f>+12014402625</f>
        <v>12014402625</v>
      </c>
      <c r="C80" s="7">
        <v>4.1</v>
      </c>
      <c r="D80" s="7">
        <v>36.0</v>
      </c>
      <c r="E80" s="9" t="s">
        <v>304</v>
      </c>
      <c r="F80" s="7" t="s">
        <v>282</v>
      </c>
      <c r="G80" s="7" t="s">
        <v>305</v>
      </c>
      <c r="H80" s="7" t="s">
        <v>23</v>
      </c>
      <c r="I80" s="7" t="s">
        <v>37</v>
      </c>
    </row>
    <row r="81">
      <c r="A81" s="7" t="s">
        <v>306</v>
      </c>
      <c r="B81" s="8">
        <f>+12016018480</f>
        <v>12016018480</v>
      </c>
      <c r="C81" s="7">
        <v>4.8</v>
      </c>
      <c r="D81" s="7">
        <v>276.0</v>
      </c>
      <c r="E81" s="9" t="s">
        <v>307</v>
      </c>
      <c r="F81" s="7" t="s">
        <v>243</v>
      </c>
      <c r="G81" s="7" t="s">
        <v>308</v>
      </c>
      <c r="H81" s="7" t="s">
        <v>309</v>
      </c>
      <c r="I81" s="7" t="s">
        <v>260</v>
      </c>
    </row>
    <row r="82">
      <c r="A82" s="7" t="s">
        <v>310</v>
      </c>
      <c r="B82" s="8">
        <f>+12012290038</f>
        <v>12012290038</v>
      </c>
      <c r="C82" s="7">
        <v>4.9</v>
      </c>
      <c r="D82" s="7">
        <v>110.0</v>
      </c>
      <c r="E82" s="9" t="s">
        <v>311</v>
      </c>
      <c r="F82" s="7" t="s">
        <v>243</v>
      </c>
      <c r="G82" s="7" t="s">
        <v>312</v>
      </c>
      <c r="H82" s="7" t="s">
        <v>44</v>
      </c>
      <c r="I82" s="7" t="s">
        <v>313</v>
      </c>
    </row>
    <row r="83">
      <c r="A83" s="7" t="s">
        <v>314</v>
      </c>
      <c r="B83" s="8">
        <f>+12019438008</f>
        <v>12019438008</v>
      </c>
      <c r="C83" s="7">
        <v>4.6</v>
      </c>
      <c r="D83" s="7">
        <v>28.0</v>
      </c>
      <c r="E83" s="9" t="s">
        <v>315</v>
      </c>
      <c r="F83" s="7" t="s">
        <v>243</v>
      </c>
      <c r="G83" s="7" t="s">
        <v>316</v>
      </c>
      <c r="H83" s="7" t="s">
        <v>56</v>
      </c>
      <c r="I83" s="7" t="s">
        <v>317</v>
      </c>
    </row>
    <row r="84">
      <c r="A84" s="7" t="s">
        <v>318</v>
      </c>
      <c r="B84" s="8">
        <f>+12014400937</f>
        <v>12014400937</v>
      </c>
      <c r="C84" s="7">
        <v>3.8</v>
      </c>
      <c r="D84" s="7">
        <v>13.0</v>
      </c>
      <c r="E84" s="9" t="s">
        <v>319</v>
      </c>
      <c r="F84" s="7" t="s">
        <v>320</v>
      </c>
      <c r="G84" s="7" t="s">
        <v>321</v>
      </c>
      <c r="H84" s="7" t="s">
        <v>23</v>
      </c>
      <c r="I84" s="7" t="s">
        <v>322</v>
      </c>
    </row>
  </sheetData>
  <autoFilter ref="$A$1:$I$84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</hyperlinks>
  <drawing r:id="rId8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5"/>
    <col customWidth="1" min="2" max="2" width="99.88"/>
    <col customWidth="1" min="3" max="3" width="12.13"/>
    <col customWidth="1" min="4" max="4" width="6.25"/>
    <col customWidth="1" min="5" max="5" width="12.38"/>
    <col customWidth="1" min="6" max="6" width="91.88"/>
    <col customWidth="1" min="7" max="7" width="14.38"/>
    <col customWidth="1" min="8" max="8" width="12.5"/>
    <col customWidth="1" min="9" max="9" width="7.5"/>
    <col customWidth="1" min="10" max="10" width="150.63"/>
    <col customWidth="1" min="11" max="11" width="26.0"/>
    <col customWidth="1" min="12" max="12" width="25.13"/>
    <col customWidth="1" min="13" max="13" width="12.63"/>
  </cols>
  <sheetData>
    <row r="1">
      <c r="A1" s="1" t="s">
        <v>0</v>
      </c>
      <c r="B1" s="2" t="s">
        <v>323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324</v>
      </c>
      <c r="L1" s="3" t="s">
        <v>325</v>
      </c>
      <c r="M1" s="3" t="s">
        <v>326</v>
      </c>
    </row>
    <row r="2">
      <c r="A2" s="4" t="s">
        <v>327</v>
      </c>
      <c r="B2" s="6" t="s">
        <v>328</v>
      </c>
      <c r="C2" s="5">
        <f>+12013945269</f>
        <v>12013945269</v>
      </c>
      <c r="D2" s="4">
        <v>4.9</v>
      </c>
      <c r="E2" s="4">
        <v>87.0</v>
      </c>
      <c r="F2" s="6" t="s">
        <v>329</v>
      </c>
      <c r="G2" s="4" t="s">
        <v>17</v>
      </c>
      <c r="H2" s="4" t="s">
        <v>330</v>
      </c>
      <c r="I2" s="4" t="s">
        <v>331</v>
      </c>
      <c r="J2" s="4" t="s">
        <v>332</v>
      </c>
      <c r="K2" s="11"/>
      <c r="L2" s="11"/>
    </row>
    <row r="3">
      <c r="A3" s="7" t="s">
        <v>333</v>
      </c>
      <c r="B3" s="9" t="s">
        <v>334</v>
      </c>
      <c r="C3" s="8">
        <f>+19737721234</f>
        <v>19737721234</v>
      </c>
      <c r="D3" s="7">
        <v>4.3</v>
      </c>
      <c r="E3" s="7">
        <v>61.0</v>
      </c>
      <c r="F3" s="9" t="s">
        <v>335</v>
      </c>
      <c r="G3" s="7" t="s">
        <v>17</v>
      </c>
      <c r="H3" s="7" t="s">
        <v>336</v>
      </c>
      <c r="I3" s="7" t="s">
        <v>337</v>
      </c>
      <c r="J3" s="7" t="s">
        <v>18</v>
      </c>
      <c r="K3" s="10"/>
      <c r="L3" s="10"/>
    </row>
    <row r="4">
      <c r="A4" s="7" t="s">
        <v>338</v>
      </c>
      <c r="B4" s="9" t="s">
        <v>339</v>
      </c>
      <c r="C4" s="8">
        <f>+12019262001</f>
        <v>12019262001</v>
      </c>
      <c r="D4" s="10"/>
      <c r="E4" s="7">
        <v>0.0</v>
      </c>
      <c r="F4" s="9" t="s">
        <v>340</v>
      </c>
      <c r="G4" s="7" t="s">
        <v>17</v>
      </c>
      <c r="H4" s="7" t="s">
        <v>341</v>
      </c>
      <c r="I4" s="7" t="s">
        <v>13</v>
      </c>
      <c r="J4" s="7" t="s">
        <v>37</v>
      </c>
      <c r="K4" s="10"/>
      <c r="L4" s="10"/>
    </row>
    <row r="5">
      <c r="A5" s="7" t="s">
        <v>342</v>
      </c>
      <c r="B5" s="9" t="s">
        <v>343</v>
      </c>
      <c r="C5" s="8">
        <f>+12019278562</f>
        <v>12019278562</v>
      </c>
      <c r="D5" s="7">
        <v>5.0</v>
      </c>
      <c r="E5" s="7">
        <v>18.0</v>
      </c>
      <c r="F5" s="9" t="s">
        <v>344</v>
      </c>
      <c r="G5" s="7" t="s">
        <v>68</v>
      </c>
      <c r="H5" s="7" t="s">
        <v>345</v>
      </c>
      <c r="I5" s="7" t="s">
        <v>44</v>
      </c>
      <c r="J5" s="7" t="s">
        <v>18</v>
      </c>
      <c r="K5" s="10"/>
      <c r="L5" s="10"/>
    </row>
    <row r="6">
      <c r="A6" s="7" t="s">
        <v>346</v>
      </c>
      <c r="B6" s="9" t="s">
        <v>347</v>
      </c>
      <c r="C6" s="8">
        <f>+15517753655</f>
        <v>15517753655</v>
      </c>
      <c r="D6" s="7">
        <v>4.9</v>
      </c>
      <c r="E6" s="7">
        <v>47.0</v>
      </c>
      <c r="F6" s="9" t="s">
        <v>348</v>
      </c>
      <c r="G6" s="7" t="s">
        <v>68</v>
      </c>
      <c r="H6" s="7" t="s">
        <v>349</v>
      </c>
      <c r="I6" s="7" t="s">
        <v>131</v>
      </c>
      <c r="J6" s="7" t="s">
        <v>18</v>
      </c>
      <c r="K6" s="10"/>
      <c r="L6" s="10"/>
    </row>
    <row r="7">
      <c r="A7" s="7" t="s">
        <v>350</v>
      </c>
      <c r="B7" s="9" t="s">
        <v>351</v>
      </c>
      <c r="C7" s="8">
        <f>+15512399945</f>
        <v>15512399945</v>
      </c>
      <c r="D7" s="7">
        <v>5.0</v>
      </c>
      <c r="E7" s="7">
        <v>19.0</v>
      </c>
      <c r="F7" s="9" t="s">
        <v>352</v>
      </c>
      <c r="G7" s="7" t="s">
        <v>68</v>
      </c>
      <c r="H7" s="7" t="s">
        <v>353</v>
      </c>
      <c r="I7" s="7" t="s">
        <v>131</v>
      </c>
      <c r="J7" s="7" t="s">
        <v>136</v>
      </c>
      <c r="K7" s="10"/>
      <c r="L7" s="10"/>
    </row>
    <row r="8">
      <c r="A8" s="7" t="s">
        <v>354</v>
      </c>
      <c r="B8" s="9" t="s">
        <v>355</v>
      </c>
      <c r="C8" s="8">
        <f>+16093590664</f>
        <v>16093590664</v>
      </c>
      <c r="D8" s="7">
        <v>5.0</v>
      </c>
      <c r="E8" s="7">
        <v>7.0</v>
      </c>
      <c r="F8" s="9" t="s">
        <v>356</v>
      </c>
      <c r="G8" s="7" t="s">
        <v>68</v>
      </c>
      <c r="H8" s="7" t="s">
        <v>357</v>
      </c>
      <c r="I8" s="7" t="s">
        <v>56</v>
      </c>
      <c r="J8" s="7" t="s">
        <v>136</v>
      </c>
      <c r="K8" s="10"/>
      <c r="L8" s="10"/>
    </row>
    <row r="9">
      <c r="A9" s="7" t="s">
        <v>358</v>
      </c>
      <c r="B9" s="9" t="s">
        <v>359</v>
      </c>
      <c r="C9" s="8">
        <f>+12013980176</f>
        <v>12013980176</v>
      </c>
      <c r="D9" s="7">
        <v>4.9</v>
      </c>
      <c r="E9" s="7">
        <v>35.0</v>
      </c>
      <c r="F9" s="9" t="s">
        <v>360</v>
      </c>
      <c r="G9" s="7" t="s">
        <v>68</v>
      </c>
      <c r="H9" s="7" t="s">
        <v>361</v>
      </c>
      <c r="I9" s="7" t="s">
        <v>23</v>
      </c>
      <c r="J9" s="7" t="s">
        <v>362</v>
      </c>
      <c r="K9" s="10"/>
      <c r="L9" s="10"/>
    </row>
    <row r="10">
      <c r="A10" s="7" t="s">
        <v>363</v>
      </c>
      <c r="B10" s="9" t="s">
        <v>364</v>
      </c>
      <c r="C10" s="8">
        <f>+79219763483</f>
        <v>79219763483</v>
      </c>
      <c r="D10" s="7">
        <v>5.0</v>
      </c>
      <c r="E10" s="7">
        <v>3.0</v>
      </c>
      <c r="F10" s="9" t="s">
        <v>365</v>
      </c>
      <c r="G10" s="7" t="s">
        <v>68</v>
      </c>
      <c r="H10" s="7" t="s">
        <v>366</v>
      </c>
      <c r="I10" s="7" t="s">
        <v>44</v>
      </c>
      <c r="J10" s="7" t="s">
        <v>37</v>
      </c>
      <c r="K10" s="10"/>
      <c r="L10" s="10"/>
    </row>
    <row r="11">
      <c r="A11" s="7" t="s">
        <v>367</v>
      </c>
      <c r="B11" s="9" t="s">
        <v>368</v>
      </c>
      <c r="C11" s="8">
        <f>+16097108802</f>
        <v>16097108802</v>
      </c>
      <c r="D11" s="7">
        <v>4.7</v>
      </c>
      <c r="E11" s="7">
        <v>13.0</v>
      </c>
      <c r="F11" s="9" t="s">
        <v>369</v>
      </c>
      <c r="G11" s="7" t="s">
        <v>68</v>
      </c>
      <c r="H11" s="7" t="s">
        <v>370</v>
      </c>
      <c r="I11" s="7" t="s">
        <v>41</v>
      </c>
      <c r="J11" s="7" t="s">
        <v>106</v>
      </c>
      <c r="K11" s="10"/>
      <c r="L11" s="10"/>
    </row>
    <row r="12">
      <c r="A12" s="7" t="s">
        <v>371</v>
      </c>
      <c r="B12" s="9" t="s">
        <v>372</v>
      </c>
      <c r="C12" s="8">
        <f>+12018352956</f>
        <v>12018352956</v>
      </c>
      <c r="D12" s="7">
        <v>5.0</v>
      </c>
      <c r="E12" s="7">
        <v>40.0</v>
      </c>
      <c r="F12" s="9" t="s">
        <v>373</v>
      </c>
      <c r="G12" s="7" t="s">
        <v>68</v>
      </c>
      <c r="H12" s="10"/>
      <c r="I12" s="10"/>
      <c r="J12" s="7" t="s">
        <v>374</v>
      </c>
      <c r="K12" s="10"/>
      <c r="L12" s="10"/>
    </row>
    <row r="13">
      <c r="A13" s="7" t="s">
        <v>375</v>
      </c>
      <c r="B13" s="9" t="s">
        <v>376</v>
      </c>
      <c r="C13" s="8">
        <f>+12018612025</f>
        <v>12018612025</v>
      </c>
      <c r="D13" s="7">
        <v>5.0</v>
      </c>
      <c r="E13" s="7">
        <v>741.0</v>
      </c>
      <c r="F13" s="9" t="s">
        <v>377</v>
      </c>
      <c r="G13" s="7" t="s">
        <v>164</v>
      </c>
      <c r="H13" s="7" t="s">
        <v>378</v>
      </c>
      <c r="I13" s="7" t="s">
        <v>379</v>
      </c>
      <c r="J13" s="7" t="s">
        <v>380</v>
      </c>
      <c r="K13" s="10"/>
      <c r="L13" s="10"/>
    </row>
    <row r="14">
      <c r="A14" s="7" t="s">
        <v>381</v>
      </c>
      <c r="B14" s="9" t="s">
        <v>382</v>
      </c>
      <c r="C14" s="8">
        <f>+12014893400</f>
        <v>12014893400</v>
      </c>
      <c r="D14" s="7">
        <v>5.0</v>
      </c>
      <c r="E14" s="7">
        <v>27.0</v>
      </c>
      <c r="F14" s="9" t="s">
        <v>383</v>
      </c>
      <c r="G14" s="7" t="s">
        <v>164</v>
      </c>
      <c r="H14" s="7" t="s">
        <v>384</v>
      </c>
      <c r="I14" s="7" t="s">
        <v>28</v>
      </c>
      <c r="J14" s="7" t="s">
        <v>385</v>
      </c>
      <c r="K14" s="10"/>
      <c r="L14" s="10"/>
    </row>
    <row r="15">
      <c r="A15" s="7" t="s">
        <v>386</v>
      </c>
      <c r="B15" s="9" t="s">
        <v>387</v>
      </c>
      <c r="C15" s="8">
        <f>+12017491152</f>
        <v>12017491152</v>
      </c>
      <c r="D15" s="7">
        <v>5.0</v>
      </c>
      <c r="E15" s="7">
        <v>2.0</v>
      </c>
      <c r="F15" s="9" t="s">
        <v>388</v>
      </c>
      <c r="G15" s="7" t="s">
        <v>164</v>
      </c>
      <c r="H15" s="7" t="s">
        <v>181</v>
      </c>
      <c r="I15" s="7" t="s">
        <v>32</v>
      </c>
      <c r="J15" s="7" t="s">
        <v>37</v>
      </c>
      <c r="K15" s="10"/>
      <c r="L15" s="10"/>
    </row>
    <row r="16">
      <c r="A16" s="7" t="s">
        <v>389</v>
      </c>
      <c r="B16" s="9" t="s">
        <v>390</v>
      </c>
      <c r="C16" s="8">
        <f>+12014610906</f>
        <v>12014610906</v>
      </c>
      <c r="D16" s="7">
        <v>5.0</v>
      </c>
      <c r="E16" s="7">
        <v>2.0</v>
      </c>
      <c r="F16" s="9" t="s">
        <v>391</v>
      </c>
      <c r="G16" s="7" t="s">
        <v>189</v>
      </c>
      <c r="H16" s="7" t="s">
        <v>392</v>
      </c>
      <c r="I16" s="7" t="s">
        <v>87</v>
      </c>
      <c r="J16" s="7" t="s">
        <v>136</v>
      </c>
      <c r="K16" s="10"/>
      <c r="L16" s="10"/>
    </row>
    <row r="17">
      <c r="A17" s="7" t="s">
        <v>393</v>
      </c>
      <c r="B17" s="9" t="s">
        <v>394</v>
      </c>
      <c r="C17" s="10"/>
      <c r="D17" s="7">
        <v>1.0</v>
      </c>
      <c r="E17" s="7">
        <v>1.0</v>
      </c>
      <c r="F17" s="9" t="s">
        <v>395</v>
      </c>
      <c r="G17" s="7" t="s">
        <v>189</v>
      </c>
      <c r="H17" s="7" t="s">
        <v>396</v>
      </c>
      <c r="I17" s="7" t="s">
        <v>120</v>
      </c>
      <c r="J17" s="7" t="s">
        <v>37</v>
      </c>
      <c r="K17" s="10"/>
      <c r="L17" s="10"/>
    </row>
    <row r="18">
      <c r="A18" s="7" t="s">
        <v>397</v>
      </c>
      <c r="B18" s="9" t="s">
        <v>398</v>
      </c>
      <c r="C18" s="8">
        <f>+12012821791</f>
        <v>12012821791</v>
      </c>
      <c r="D18" s="7">
        <v>5.0</v>
      </c>
      <c r="E18" s="7">
        <v>53.0</v>
      </c>
      <c r="F18" s="9" t="s">
        <v>399</v>
      </c>
      <c r="G18" s="7" t="s">
        <v>189</v>
      </c>
      <c r="H18" s="7" t="s">
        <v>204</v>
      </c>
      <c r="I18" s="7" t="s">
        <v>87</v>
      </c>
      <c r="J18" s="7" t="s">
        <v>400</v>
      </c>
      <c r="K18" s="10"/>
      <c r="L18" s="10"/>
    </row>
    <row r="19">
      <c r="A19" s="7" t="s">
        <v>401</v>
      </c>
      <c r="B19" s="9" t="s">
        <v>402</v>
      </c>
      <c r="C19" s="8">
        <f>+12014038728</f>
        <v>12014038728</v>
      </c>
      <c r="D19" s="7">
        <v>5.0</v>
      </c>
      <c r="E19" s="7">
        <v>67.0</v>
      </c>
      <c r="F19" s="9" t="s">
        <v>403</v>
      </c>
      <c r="G19" s="7" t="s">
        <v>189</v>
      </c>
      <c r="H19" s="7" t="s">
        <v>404</v>
      </c>
      <c r="I19" s="7" t="s">
        <v>131</v>
      </c>
      <c r="J19" s="7" t="s">
        <v>405</v>
      </c>
      <c r="K19" s="10"/>
      <c r="L19" s="10"/>
    </row>
    <row r="20">
      <c r="A20" s="7" t="s">
        <v>406</v>
      </c>
      <c r="B20" s="9" t="s">
        <v>407</v>
      </c>
      <c r="C20" s="8">
        <f>+12019451070</f>
        <v>12019451070</v>
      </c>
      <c r="D20" s="7">
        <v>3.7</v>
      </c>
      <c r="E20" s="7">
        <v>19.0</v>
      </c>
      <c r="F20" s="9" t="s">
        <v>408</v>
      </c>
      <c r="G20" s="7" t="s">
        <v>409</v>
      </c>
      <c r="H20" s="7" t="s">
        <v>410</v>
      </c>
      <c r="I20" s="7" t="s">
        <v>120</v>
      </c>
      <c r="J20" s="7" t="s">
        <v>411</v>
      </c>
      <c r="K20" s="10"/>
      <c r="L20" s="10"/>
    </row>
    <row r="21">
      <c r="A21" s="7" t="s">
        <v>412</v>
      </c>
      <c r="B21" s="9" t="s">
        <v>413</v>
      </c>
      <c r="C21" s="8">
        <f>+12012905256</f>
        <v>12012905256</v>
      </c>
      <c r="D21" s="7">
        <v>5.0</v>
      </c>
      <c r="E21" s="7">
        <v>1.0</v>
      </c>
      <c r="F21" s="9" t="s">
        <v>414</v>
      </c>
      <c r="G21" s="7" t="s">
        <v>196</v>
      </c>
      <c r="H21" s="7" t="s">
        <v>204</v>
      </c>
      <c r="I21" s="7" t="s">
        <v>87</v>
      </c>
      <c r="J21" s="7" t="s">
        <v>18</v>
      </c>
      <c r="K21" s="10"/>
      <c r="L21" s="10"/>
    </row>
    <row r="22">
      <c r="A22" s="7" t="s">
        <v>415</v>
      </c>
      <c r="B22" s="9" t="s">
        <v>416</v>
      </c>
      <c r="C22" s="8">
        <f>+12014404330</f>
        <v>12014404330</v>
      </c>
      <c r="D22" s="7">
        <v>4.6</v>
      </c>
      <c r="E22" s="7">
        <v>19.0</v>
      </c>
      <c r="F22" s="9" t="s">
        <v>417</v>
      </c>
      <c r="G22" s="7" t="s">
        <v>235</v>
      </c>
      <c r="H22" s="7" t="s">
        <v>418</v>
      </c>
      <c r="I22" s="7" t="s">
        <v>44</v>
      </c>
      <c r="J22" s="7" t="s">
        <v>37</v>
      </c>
      <c r="K22" s="10"/>
      <c r="L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</sheetData>
  <autoFilter ref="$A$1:$M$24"/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F11"/>
    <hyperlink r:id="rId21" ref="B12"/>
    <hyperlink r:id="rId22" ref="F12"/>
    <hyperlink r:id="rId23" ref="B13"/>
    <hyperlink r:id="rId24" ref="F13"/>
    <hyperlink r:id="rId25" ref="B14"/>
    <hyperlink r:id="rId26" ref="F14"/>
    <hyperlink r:id="rId27" ref="B15"/>
    <hyperlink r:id="rId28" ref="F15"/>
    <hyperlink r:id="rId29" ref="B16"/>
    <hyperlink r:id="rId30" ref="F16"/>
    <hyperlink r:id="rId31" ref="B17"/>
    <hyperlink r:id="rId32" ref="F17"/>
    <hyperlink r:id="rId33" ref="B18"/>
    <hyperlink r:id="rId34" ref="F18"/>
    <hyperlink r:id="rId35" ref="B19"/>
    <hyperlink r:id="rId36" ref="F19"/>
    <hyperlink r:id="rId37" ref="B20"/>
    <hyperlink r:id="rId38" ref="F20"/>
    <hyperlink r:id="rId39" ref="B21"/>
    <hyperlink r:id="rId40" ref="F21"/>
    <hyperlink r:id="rId41" ref="B22"/>
    <hyperlink r:id="rId42" ref="F22"/>
  </hyperlinks>
  <drawing r:id="rId4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0"/>
    <col customWidth="1" min="2" max="2" width="99.88"/>
    <col customWidth="1" min="3" max="3" width="12.13"/>
    <col customWidth="1" min="4" max="4" width="6.25"/>
    <col customWidth="1" min="5" max="5" width="12.38"/>
    <col customWidth="1" min="6" max="6" width="92.0"/>
    <col customWidth="1" min="7" max="7" width="22.75"/>
    <col customWidth="1" min="8" max="8" width="21.38"/>
    <col customWidth="1" min="9" max="9" width="7.5"/>
    <col customWidth="1" min="10" max="10" width="150.63"/>
    <col customWidth="1" min="11" max="11" width="26.0"/>
    <col customWidth="1" min="12" max="12" width="25.13"/>
  </cols>
  <sheetData>
    <row r="1">
      <c r="A1" s="1" t="s">
        <v>0</v>
      </c>
      <c r="B1" s="2" t="s">
        <v>323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324</v>
      </c>
      <c r="L1" s="3" t="s">
        <v>325</v>
      </c>
    </row>
    <row r="2">
      <c r="A2" s="4" t="s">
        <v>419</v>
      </c>
      <c r="B2" s="6" t="s">
        <v>420</v>
      </c>
      <c r="C2" s="5">
        <f>+12017787585</f>
        <v>12017787585</v>
      </c>
      <c r="D2" s="4">
        <v>4.8</v>
      </c>
      <c r="E2" s="4">
        <v>284.0</v>
      </c>
      <c r="F2" s="6" t="s">
        <v>421</v>
      </c>
      <c r="G2" s="4" t="s">
        <v>17</v>
      </c>
      <c r="H2" s="4" t="s">
        <v>422</v>
      </c>
      <c r="I2" s="4" t="s">
        <v>423</v>
      </c>
      <c r="J2" s="4" t="s">
        <v>18</v>
      </c>
      <c r="K2" s="11"/>
      <c r="L2" s="11"/>
    </row>
    <row r="3">
      <c r="A3" s="7" t="s">
        <v>327</v>
      </c>
      <c r="B3" s="9" t="s">
        <v>328</v>
      </c>
      <c r="C3" s="8">
        <f>+12013945269</f>
        <v>12013945269</v>
      </c>
      <c r="D3" s="7">
        <v>4.9</v>
      </c>
      <c r="E3" s="7">
        <v>87.0</v>
      </c>
      <c r="F3" s="9" t="s">
        <v>329</v>
      </c>
      <c r="G3" s="7" t="s">
        <v>17</v>
      </c>
      <c r="H3" s="7" t="s">
        <v>330</v>
      </c>
      <c r="I3" s="7" t="s">
        <v>331</v>
      </c>
      <c r="J3" s="7" t="s">
        <v>332</v>
      </c>
      <c r="K3" s="10"/>
      <c r="L3" s="10"/>
    </row>
    <row r="4">
      <c r="A4" s="7" t="s">
        <v>424</v>
      </c>
      <c r="B4" s="9" t="s">
        <v>425</v>
      </c>
      <c r="C4" s="8">
        <f>+12019528598</f>
        <v>12019528598</v>
      </c>
      <c r="D4" s="7">
        <v>4.7</v>
      </c>
      <c r="E4" s="7">
        <v>87.0</v>
      </c>
      <c r="F4" s="9" t="s">
        <v>426</v>
      </c>
      <c r="G4" s="7" t="s">
        <v>17</v>
      </c>
      <c r="H4" s="7" t="s">
        <v>427</v>
      </c>
      <c r="I4" s="7" t="s">
        <v>337</v>
      </c>
      <c r="J4" s="7" t="s">
        <v>18</v>
      </c>
      <c r="K4" s="10"/>
      <c r="L4" s="10"/>
    </row>
    <row r="5">
      <c r="A5" s="7" t="s">
        <v>428</v>
      </c>
      <c r="B5" s="9" t="s">
        <v>429</v>
      </c>
      <c r="C5" s="8">
        <f>+12017244857</f>
        <v>12017244857</v>
      </c>
      <c r="D5" s="7">
        <v>5.0</v>
      </c>
      <c r="E5" s="7">
        <v>41.0</v>
      </c>
      <c r="F5" s="9" t="s">
        <v>430</v>
      </c>
      <c r="G5" s="7" t="s">
        <v>17</v>
      </c>
      <c r="H5" s="10"/>
      <c r="I5" s="10"/>
      <c r="J5" s="7" t="s">
        <v>18</v>
      </c>
      <c r="K5" s="10"/>
      <c r="L5" s="10"/>
    </row>
    <row r="6">
      <c r="A6" s="7" t="s">
        <v>431</v>
      </c>
      <c r="B6" s="9" t="s">
        <v>432</v>
      </c>
      <c r="C6" s="8">
        <f>+19739887742</f>
        <v>19739887742</v>
      </c>
      <c r="D6" s="7">
        <v>5.0</v>
      </c>
      <c r="E6" s="7">
        <v>32.0</v>
      </c>
      <c r="F6" s="9" t="s">
        <v>433</v>
      </c>
      <c r="G6" s="7" t="s">
        <v>17</v>
      </c>
      <c r="H6" s="7" t="s">
        <v>434</v>
      </c>
      <c r="I6" s="7" t="s">
        <v>13</v>
      </c>
      <c r="J6" s="7" t="s">
        <v>18</v>
      </c>
      <c r="K6" s="10"/>
      <c r="L6" s="10"/>
    </row>
    <row r="7">
      <c r="A7" s="7" t="s">
        <v>435</v>
      </c>
      <c r="B7" s="9" t="s">
        <v>436</v>
      </c>
      <c r="C7" s="8">
        <f>+19737728422</f>
        <v>19737728422</v>
      </c>
      <c r="D7" s="7">
        <v>4.8</v>
      </c>
      <c r="E7" s="7">
        <v>26.0</v>
      </c>
      <c r="F7" s="9" t="s">
        <v>437</v>
      </c>
      <c r="G7" s="7" t="s">
        <v>17</v>
      </c>
      <c r="H7" s="7" t="s">
        <v>438</v>
      </c>
      <c r="I7" s="7" t="s">
        <v>337</v>
      </c>
      <c r="J7" s="7" t="s">
        <v>18</v>
      </c>
      <c r="K7" s="10"/>
      <c r="L7" s="10"/>
    </row>
    <row r="8">
      <c r="A8" s="7" t="s">
        <v>9</v>
      </c>
      <c r="B8" s="10"/>
      <c r="C8" s="8">
        <f>+19732466298</f>
        <v>19732466298</v>
      </c>
      <c r="D8" s="7">
        <v>4.6</v>
      </c>
      <c r="E8" s="7">
        <v>30.0</v>
      </c>
      <c r="F8" s="9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10"/>
      <c r="L8" s="10"/>
    </row>
    <row r="9">
      <c r="A9" s="7" t="s">
        <v>439</v>
      </c>
      <c r="B9" s="9" t="s">
        <v>440</v>
      </c>
      <c r="C9" s="8">
        <f>+18883332422</f>
        <v>18883332422</v>
      </c>
      <c r="D9" s="7">
        <v>4.1</v>
      </c>
      <c r="E9" s="7">
        <v>401.0</v>
      </c>
      <c r="F9" s="9" t="s">
        <v>441</v>
      </c>
      <c r="G9" s="7" t="s">
        <v>17</v>
      </c>
      <c r="H9" s="7" t="s">
        <v>442</v>
      </c>
      <c r="I9" s="7" t="s">
        <v>13</v>
      </c>
      <c r="J9" s="7" t="s">
        <v>18</v>
      </c>
      <c r="K9" s="10"/>
      <c r="L9" s="10"/>
    </row>
    <row r="10">
      <c r="A10" s="7" t="s">
        <v>443</v>
      </c>
      <c r="B10" s="9" t="s">
        <v>444</v>
      </c>
      <c r="C10" s="8">
        <f>+12016643701</f>
        <v>12016643701</v>
      </c>
      <c r="D10" s="7">
        <v>4.9</v>
      </c>
      <c r="E10" s="7">
        <v>73.0</v>
      </c>
      <c r="F10" s="9" t="s">
        <v>445</v>
      </c>
      <c r="G10" s="7" t="s">
        <v>17</v>
      </c>
      <c r="H10" s="7" t="s">
        <v>446</v>
      </c>
      <c r="I10" s="7" t="s">
        <v>331</v>
      </c>
      <c r="J10" s="7" t="s">
        <v>260</v>
      </c>
      <c r="K10" s="10"/>
      <c r="L10" s="10"/>
    </row>
    <row r="11">
      <c r="A11" s="7" t="s">
        <v>333</v>
      </c>
      <c r="B11" s="9" t="s">
        <v>334</v>
      </c>
      <c r="C11" s="8">
        <f>+19737721234</f>
        <v>19737721234</v>
      </c>
      <c r="D11" s="7">
        <v>4.3</v>
      </c>
      <c r="E11" s="7">
        <v>61.0</v>
      </c>
      <c r="F11" s="9" t="s">
        <v>335</v>
      </c>
      <c r="G11" s="7" t="s">
        <v>17</v>
      </c>
      <c r="H11" s="7" t="s">
        <v>336</v>
      </c>
      <c r="I11" s="7" t="s">
        <v>337</v>
      </c>
      <c r="J11" s="7" t="s">
        <v>18</v>
      </c>
      <c r="K11" s="10"/>
      <c r="L11" s="10"/>
    </row>
    <row r="12">
      <c r="A12" s="7" t="s">
        <v>447</v>
      </c>
      <c r="B12" s="9" t="s">
        <v>448</v>
      </c>
      <c r="C12" s="8">
        <f>+12018778890</f>
        <v>12018778890</v>
      </c>
      <c r="D12" s="7">
        <v>5.0</v>
      </c>
      <c r="E12" s="7">
        <v>16.0</v>
      </c>
      <c r="F12" s="9" t="s">
        <v>449</v>
      </c>
      <c r="G12" s="7" t="s">
        <v>17</v>
      </c>
      <c r="H12" s="10"/>
      <c r="I12" s="10"/>
      <c r="J12" s="7" t="s">
        <v>450</v>
      </c>
      <c r="K12" s="10"/>
      <c r="L12" s="10"/>
    </row>
    <row r="13">
      <c r="A13" s="7" t="s">
        <v>451</v>
      </c>
      <c r="B13" s="9" t="s">
        <v>452</v>
      </c>
      <c r="C13" s="8">
        <f>+12018522053</f>
        <v>12018522053</v>
      </c>
      <c r="D13" s="7">
        <v>5.0</v>
      </c>
      <c r="E13" s="7">
        <v>3.0</v>
      </c>
      <c r="F13" s="9" t="s">
        <v>453</v>
      </c>
      <c r="G13" s="7" t="s">
        <v>17</v>
      </c>
      <c r="H13" s="7" t="s">
        <v>454</v>
      </c>
      <c r="I13" s="7" t="s">
        <v>423</v>
      </c>
      <c r="J13" s="7" t="s">
        <v>18</v>
      </c>
      <c r="K13" s="10"/>
      <c r="L13" s="10"/>
    </row>
    <row r="14">
      <c r="A14" s="7" t="s">
        <v>455</v>
      </c>
      <c r="B14" s="9" t="s">
        <v>456</v>
      </c>
      <c r="C14" s="8">
        <f>+18622903559</f>
        <v>18622903559</v>
      </c>
      <c r="D14" s="7">
        <v>5.0</v>
      </c>
      <c r="E14" s="7">
        <v>226.0</v>
      </c>
      <c r="F14" s="9" t="s">
        <v>457</v>
      </c>
      <c r="G14" s="7" t="s">
        <v>17</v>
      </c>
      <c r="H14" s="7" t="s">
        <v>458</v>
      </c>
      <c r="I14" s="7" t="s">
        <v>13</v>
      </c>
      <c r="J14" s="7" t="s">
        <v>205</v>
      </c>
      <c r="K14" s="10"/>
      <c r="L14" s="10"/>
    </row>
    <row r="15">
      <c r="A15" s="7" t="s">
        <v>15</v>
      </c>
      <c r="B15" s="10"/>
      <c r="C15" s="8">
        <f>+19736667266</f>
        <v>19736667266</v>
      </c>
      <c r="D15" s="7">
        <v>4.3</v>
      </c>
      <c r="E15" s="7">
        <v>61.0</v>
      </c>
      <c r="F15" s="9" t="s">
        <v>16</v>
      </c>
      <c r="G15" s="7" t="s">
        <v>17</v>
      </c>
      <c r="H15" s="10"/>
      <c r="I15" s="10"/>
      <c r="J15" s="7" t="s">
        <v>18</v>
      </c>
      <c r="K15" s="10"/>
      <c r="L15" s="10"/>
    </row>
    <row r="16">
      <c r="A16" s="7" t="s">
        <v>338</v>
      </c>
      <c r="B16" s="9" t="s">
        <v>339</v>
      </c>
      <c r="C16" s="8">
        <f>+12019262001</f>
        <v>12019262001</v>
      </c>
      <c r="D16" s="10"/>
      <c r="E16" s="7">
        <v>0.0</v>
      </c>
      <c r="F16" s="9" t="s">
        <v>340</v>
      </c>
      <c r="G16" s="7" t="s">
        <v>17</v>
      </c>
      <c r="H16" s="7" t="s">
        <v>341</v>
      </c>
      <c r="I16" s="7" t="s">
        <v>13</v>
      </c>
      <c r="J16" s="7" t="s">
        <v>37</v>
      </c>
      <c r="K16" s="10"/>
      <c r="L16" s="10"/>
    </row>
    <row r="17">
      <c r="A17" s="7" t="s">
        <v>459</v>
      </c>
      <c r="B17" s="9" t="s">
        <v>460</v>
      </c>
      <c r="C17" s="8">
        <f>+18482742141</f>
        <v>18482742141</v>
      </c>
      <c r="D17" s="7">
        <v>4.8</v>
      </c>
      <c r="E17" s="7">
        <v>75.0</v>
      </c>
      <c r="F17" s="9" t="s">
        <v>461</v>
      </c>
      <c r="G17" s="7" t="s">
        <v>21</v>
      </c>
      <c r="H17" s="7" t="s">
        <v>462</v>
      </c>
      <c r="I17" s="7" t="s">
        <v>23</v>
      </c>
      <c r="J17" s="7" t="s">
        <v>18</v>
      </c>
      <c r="K17" s="10"/>
      <c r="L17" s="10"/>
    </row>
    <row r="18">
      <c r="A18" s="7" t="s">
        <v>19</v>
      </c>
      <c r="B18" s="9" t="s">
        <v>460</v>
      </c>
      <c r="C18" s="8">
        <f>+12016414040</f>
        <v>12016414040</v>
      </c>
      <c r="D18" s="7">
        <v>4.3</v>
      </c>
      <c r="E18" s="7">
        <v>31.0</v>
      </c>
      <c r="F18" s="9" t="s">
        <v>20</v>
      </c>
      <c r="G18" s="7" t="s">
        <v>21</v>
      </c>
      <c r="H18" s="7" t="s">
        <v>22</v>
      </c>
      <c r="I18" s="7" t="s">
        <v>23</v>
      </c>
      <c r="J18" s="7" t="s">
        <v>24</v>
      </c>
      <c r="K18" s="10"/>
      <c r="L18" s="10"/>
    </row>
    <row r="19">
      <c r="A19" s="7" t="s">
        <v>463</v>
      </c>
      <c r="B19" s="9" t="s">
        <v>464</v>
      </c>
      <c r="C19" s="8">
        <f>+12018393232</f>
        <v>12018393232</v>
      </c>
      <c r="D19" s="7">
        <v>4.6</v>
      </c>
      <c r="E19" s="7">
        <v>35.0</v>
      </c>
      <c r="F19" s="9" t="s">
        <v>465</v>
      </c>
      <c r="G19" s="7" t="s">
        <v>21</v>
      </c>
      <c r="H19" s="7" t="s">
        <v>466</v>
      </c>
      <c r="I19" s="7" t="s">
        <v>23</v>
      </c>
      <c r="J19" s="7" t="s">
        <v>467</v>
      </c>
      <c r="K19" s="10"/>
      <c r="L19" s="10"/>
    </row>
    <row r="20">
      <c r="A20" s="7" t="s">
        <v>25</v>
      </c>
      <c r="B20" s="10"/>
      <c r="C20" s="8">
        <f>+15513628573</f>
        <v>15513628573</v>
      </c>
      <c r="D20" s="7">
        <v>4.9</v>
      </c>
      <c r="E20" s="7">
        <v>34.0</v>
      </c>
      <c r="F20" s="9" t="s">
        <v>26</v>
      </c>
      <c r="G20" s="7" t="s">
        <v>21</v>
      </c>
      <c r="H20" s="7" t="s">
        <v>27</v>
      </c>
      <c r="I20" s="7" t="s">
        <v>28</v>
      </c>
      <c r="J20" s="7" t="s">
        <v>18</v>
      </c>
      <c r="K20" s="10"/>
      <c r="L20" s="10"/>
    </row>
    <row r="21">
      <c r="A21" s="7" t="s">
        <v>468</v>
      </c>
      <c r="B21" s="9" t="s">
        <v>469</v>
      </c>
      <c r="C21" s="8">
        <f>+12019454992</f>
        <v>12019454992</v>
      </c>
      <c r="D21" s="7">
        <v>4.8</v>
      </c>
      <c r="E21" s="7">
        <v>206.0</v>
      </c>
      <c r="F21" s="9" t="s">
        <v>470</v>
      </c>
      <c r="G21" s="7" t="s">
        <v>21</v>
      </c>
      <c r="H21" s="7" t="s">
        <v>471</v>
      </c>
      <c r="I21" s="7" t="s">
        <v>41</v>
      </c>
      <c r="J21" s="7" t="s">
        <v>18</v>
      </c>
      <c r="K21" s="10"/>
      <c r="L21" s="10"/>
    </row>
    <row r="22">
      <c r="A22" s="7" t="s">
        <v>472</v>
      </c>
      <c r="B22" s="9" t="s">
        <v>473</v>
      </c>
      <c r="C22" s="8">
        <f>+19732218802</f>
        <v>19732218802</v>
      </c>
      <c r="D22" s="7">
        <v>4.7</v>
      </c>
      <c r="E22" s="7">
        <v>43.0</v>
      </c>
      <c r="F22" s="9" t="s">
        <v>474</v>
      </c>
      <c r="G22" s="7" t="s">
        <v>21</v>
      </c>
      <c r="H22" s="7" t="s">
        <v>475</v>
      </c>
      <c r="I22" s="7" t="s">
        <v>87</v>
      </c>
      <c r="J22" s="7" t="s">
        <v>18</v>
      </c>
      <c r="K22" s="10"/>
      <c r="L22" s="10"/>
    </row>
    <row r="23">
      <c r="A23" s="7" t="s">
        <v>476</v>
      </c>
      <c r="B23" s="9" t="s">
        <v>477</v>
      </c>
      <c r="C23" s="8">
        <f>+12013082539</f>
        <v>12013082539</v>
      </c>
      <c r="D23" s="7">
        <v>4.8</v>
      </c>
      <c r="E23" s="7">
        <v>526.0</v>
      </c>
      <c r="F23" s="9" t="s">
        <v>478</v>
      </c>
      <c r="G23" s="7" t="s">
        <v>21</v>
      </c>
      <c r="H23" s="7" t="s">
        <v>479</v>
      </c>
      <c r="I23" s="7" t="s">
        <v>32</v>
      </c>
      <c r="J23" s="7" t="s">
        <v>18</v>
      </c>
      <c r="K23" s="10"/>
      <c r="L23" s="10"/>
    </row>
    <row r="24">
      <c r="A24" s="7" t="s">
        <v>480</v>
      </c>
      <c r="B24" s="9" t="s">
        <v>481</v>
      </c>
      <c r="C24" s="8">
        <f>+12018950032</f>
        <v>12018950032</v>
      </c>
      <c r="D24" s="7">
        <v>4.9</v>
      </c>
      <c r="E24" s="7">
        <v>139.0</v>
      </c>
      <c r="F24" s="9" t="s">
        <v>482</v>
      </c>
      <c r="G24" s="7" t="s">
        <v>21</v>
      </c>
      <c r="H24" s="7" t="s">
        <v>483</v>
      </c>
      <c r="I24" s="7" t="s">
        <v>56</v>
      </c>
      <c r="J24" s="7" t="s">
        <v>52</v>
      </c>
      <c r="K24" s="10"/>
      <c r="L24" s="10"/>
    </row>
    <row r="25">
      <c r="A25" s="7" t="s">
        <v>484</v>
      </c>
      <c r="B25" s="9" t="s">
        <v>485</v>
      </c>
      <c r="C25" s="8">
        <f>+12013299444</f>
        <v>12013299444</v>
      </c>
      <c r="D25" s="7">
        <v>4.8</v>
      </c>
      <c r="E25" s="7">
        <v>30.0</v>
      </c>
      <c r="F25" s="9" t="s">
        <v>486</v>
      </c>
      <c r="G25" s="7" t="s">
        <v>21</v>
      </c>
      <c r="H25" s="7" t="s">
        <v>487</v>
      </c>
      <c r="I25" s="7" t="s">
        <v>44</v>
      </c>
      <c r="J25" s="7" t="s">
        <v>467</v>
      </c>
      <c r="K25" s="10"/>
      <c r="L25" s="10"/>
    </row>
    <row r="26">
      <c r="A26" s="7" t="s">
        <v>488</v>
      </c>
      <c r="B26" s="9" t="s">
        <v>489</v>
      </c>
      <c r="C26" s="8">
        <f>+19736361125</f>
        <v>19736361125</v>
      </c>
      <c r="D26" s="7">
        <v>4.9</v>
      </c>
      <c r="E26" s="7">
        <v>53.0</v>
      </c>
      <c r="F26" s="9" t="s">
        <v>490</v>
      </c>
      <c r="G26" s="7" t="s">
        <v>21</v>
      </c>
      <c r="H26" s="10"/>
      <c r="I26" s="10"/>
      <c r="J26" s="7" t="s">
        <v>18</v>
      </c>
      <c r="K26" s="10"/>
      <c r="L26" s="10"/>
    </row>
    <row r="27">
      <c r="A27" s="7" t="s">
        <v>491</v>
      </c>
      <c r="B27" s="9" t="s">
        <v>492</v>
      </c>
      <c r="C27" s="8">
        <f>+15512604383</f>
        <v>15512604383</v>
      </c>
      <c r="D27" s="7">
        <v>5.0</v>
      </c>
      <c r="E27" s="7">
        <v>186.0</v>
      </c>
      <c r="F27" s="9" t="s">
        <v>493</v>
      </c>
      <c r="G27" s="7" t="s">
        <v>21</v>
      </c>
      <c r="H27" s="10"/>
      <c r="I27" s="10"/>
      <c r="J27" s="7" t="s">
        <v>18</v>
      </c>
      <c r="K27" s="10"/>
      <c r="L27" s="10"/>
    </row>
    <row r="28">
      <c r="A28" s="7" t="s">
        <v>494</v>
      </c>
      <c r="B28" s="9" t="s">
        <v>495</v>
      </c>
      <c r="C28" s="8">
        <f>+12019417455</f>
        <v>12019417455</v>
      </c>
      <c r="D28" s="7">
        <v>4.5</v>
      </c>
      <c r="E28" s="7">
        <v>24.0</v>
      </c>
      <c r="F28" s="9" t="s">
        <v>496</v>
      </c>
      <c r="G28" s="7" t="s">
        <v>21</v>
      </c>
      <c r="H28" s="7" t="s">
        <v>497</v>
      </c>
      <c r="I28" s="7" t="s">
        <v>120</v>
      </c>
      <c r="J28" s="7" t="s">
        <v>18</v>
      </c>
      <c r="K28" s="10"/>
      <c r="L28" s="10"/>
    </row>
    <row r="29">
      <c r="A29" s="7" t="s">
        <v>498</v>
      </c>
      <c r="B29" s="9" t="s">
        <v>499</v>
      </c>
      <c r="C29" s="8">
        <f>+18883472147</f>
        <v>18883472147</v>
      </c>
      <c r="D29" s="7">
        <v>5.0</v>
      </c>
      <c r="E29" s="7">
        <v>10.0</v>
      </c>
      <c r="F29" s="9" t="s">
        <v>500</v>
      </c>
      <c r="G29" s="7" t="s">
        <v>21</v>
      </c>
      <c r="H29" s="10"/>
      <c r="I29" s="10"/>
      <c r="J29" s="7" t="s">
        <v>501</v>
      </c>
      <c r="K29" s="10"/>
      <c r="L29" s="10"/>
    </row>
    <row r="30">
      <c r="A30" s="7" t="s">
        <v>502</v>
      </c>
      <c r="B30" s="9" t="s">
        <v>503</v>
      </c>
      <c r="C30" s="8">
        <f>+12016853113</f>
        <v>12016853113</v>
      </c>
      <c r="D30" s="7">
        <v>5.0</v>
      </c>
      <c r="E30" s="7">
        <v>12.0</v>
      </c>
      <c r="F30" s="9" t="s">
        <v>504</v>
      </c>
      <c r="G30" s="7" t="s">
        <v>21</v>
      </c>
      <c r="H30" s="7" t="s">
        <v>505</v>
      </c>
      <c r="I30" s="7" t="s">
        <v>44</v>
      </c>
      <c r="J30" s="7" t="s">
        <v>18</v>
      </c>
      <c r="K30" s="10"/>
      <c r="L30" s="10"/>
    </row>
    <row r="31">
      <c r="A31" s="7" t="s">
        <v>506</v>
      </c>
      <c r="B31" s="9" t="s">
        <v>507</v>
      </c>
      <c r="C31" s="8">
        <f>+12018446292</f>
        <v>12018446292</v>
      </c>
      <c r="D31" s="7">
        <v>4.4</v>
      </c>
      <c r="E31" s="7">
        <v>18.0</v>
      </c>
      <c r="F31" s="9" t="s">
        <v>508</v>
      </c>
      <c r="G31" s="7" t="s">
        <v>21</v>
      </c>
      <c r="H31" s="7" t="s">
        <v>509</v>
      </c>
      <c r="I31" s="7" t="s">
        <v>51</v>
      </c>
      <c r="J31" s="7" t="s">
        <v>18</v>
      </c>
      <c r="K31" s="10"/>
      <c r="L31" s="10"/>
    </row>
    <row r="32">
      <c r="A32" s="7" t="s">
        <v>510</v>
      </c>
      <c r="B32" s="9" t="s">
        <v>511</v>
      </c>
      <c r="C32" s="8">
        <f>+12018855738</f>
        <v>12018855738</v>
      </c>
      <c r="D32" s="7">
        <v>5.0</v>
      </c>
      <c r="E32" s="7">
        <v>4.0</v>
      </c>
      <c r="F32" s="9" t="s">
        <v>512</v>
      </c>
      <c r="G32" s="7" t="s">
        <v>21</v>
      </c>
      <c r="H32" s="7" t="s">
        <v>513</v>
      </c>
      <c r="I32" s="7" t="s">
        <v>79</v>
      </c>
      <c r="J32" s="7" t="s">
        <v>18</v>
      </c>
      <c r="K32" s="10"/>
      <c r="L32" s="10"/>
    </row>
    <row r="33">
      <c r="A33" s="7" t="s">
        <v>514</v>
      </c>
      <c r="B33" s="9" t="s">
        <v>515</v>
      </c>
      <c r="C33" s="8">
        <f>+19733207392</f>
        <v>19733207392</v>
      </c>
      <c r="D33" s="7">
        <v>4.7</v>
      </c>
      <c r="E33" s="7">
        <v>306.0</v>
      </c>
      <c r="F33" s="9" t="s">
        <v>516</v>
      </c>
      <c r="G33" s="7" t="s">
        <v>21</v>
      </c>
      <c r="H33" s="7" t="s">
        <v>517</v>
      </c>
      <c r="I33" s="7" t="s">
        <v>518</v>
      </c>
      <c r="J33" s="7" t="s">
        <v>18</v>
      </c>
      <c r="K33" s="10"/>
      <c r="L33" s="10"/>
    </row>
    <row r="34">
      <c r="A34" s="7" t="s">
        <v>29</v>
      </c>
      <c r="B34" s="10"/>
      <c r="C34" s="8">
        <f>+12018363600</f>
        <v>12018363600</v>
      </c>
      <c r="D34" s="7">
        <v>3.4</v>
      </c>
      <c r="E34" s="7">
        <v>9.0</v>
      </c>
      <c r="F34" s="9" t="s">
        <v>30</v>
      </c>
      <c r="G34" s="7" t="s">
        <v>21</v>
      </c>
      <c r="H34" s="7" t="s">
        <v>31</v>
      </c>
      <c r="I34" s="7" t="s">
        <v>32</v>
      </c>
      <c r="J34" s="7" t="s">
        <v>33</v>
      </c>
      <c r="K34" s="10"/>
      <c r="L34" s="10"/>
    </row>
    <row r="35">
      <c r="A35" s="7" t="s">
        <v>34</v>
      </c>
      <c r="B35" s="10"/>
      <c r="C35" s="8">
        <f>+12016419190</f>
        <v>12016419190</v>
      </c>
      <c r="D35" s="7">
        <v>4.5</v>
      </c>
      <c r="E35" s="7">
        <v>2.0</v>
      </c>
      <c r="F35" s="9" t="s">
        <v>35</v>
      </c>
      <c r="G35" s="7" t="s">
        <v>21</v>
      </c>
      <c r="H35" s="7" t="s">
        <v>36</v>
      </c>
      <c r="I35" s="7" t="s">
        <v>23</v>
      </c>
      <c r="J35" s="7" t="s">
        <v>37</v>
      </c>
      <c r="K35" s="10"/>
      <c r="L35" s="10"/>
    </row>
    <row r="36">
      <c r="A36" s="7" t="s">
        <v>519</v>
      </c>
      <c r="B36" s="9" t="s">
        <v>520</v>
      </c>
      <c r="C36" s="8">
        <f>+12019941100</f>
        <v>12019941100</v>
      </c>
      <c r="D36" s="7">
        <v>2.0</v>
      </c>
      <c r="E36" s="7">
        <v>4.0</v>
      </c>
      <c r="F36" s="9" t="s">
        <v>521</v>
      </c>
      <c r="G36" s="7" t="s">
        <v>21</v>
      </c>
      <c r="H36" s="7" t="s">
        <v>361</v>
      </c>
      <c r="I36" s="7" t="s">
        <v>44</v>
      </c>
      <c r="J36" s="7" t="s">
        <v>522</v>
      </c>
      <c r="K36" s="10"/>
      <c r="L36" s="10"/>
    </row>
    <row r="37">
      <c r="A37" s="7" t="s">
        <v>419</v>
      </c>
      <c r="B37" s="9" t="s">
        <v>420</v>
      </c>
      <c r="C37" s="8">
        <f>+12017787585</f>
        <v>12017787585</v>
      </c>
      <c r="D37" s="7">
        <v>4.8</v>
      </c>
      <c r="E37" s="7">
        <v>284.0</v>
      </c>
      <c r="F37" s="9" t="s">
        <v>421</v>
      </c>
      <c r="G37" s="7" t="s">
        <v>21</v>
      </c>
      <c r="H37" s="7" t="s">
        <v>422</v>
      </c>
      <c r="I37" s="7" t="s">
        <v>423</v>
      </c>
      <c r="J37" s="7" t="s">
        <v>18</v>
      </c>
      <c r="K37" s="10"/>
      <c r="L37" s="10"/>
    </row>
    <row r="38">
      <c r="A38" s="7" t="s">
        <v>523</v>
      </c>
      <c r="B38" s="9" t="s">
        <v>524</v>
      </c>
      <c r="C38" s="8">
        <f>+12019330122</f>
        <v>12019330122</v>
      </c>
      <c r="D38" s="7">
        <v>4.4</v>
      </c>
      <c r="E38" s="7">
        <v>57.0</v>
      </c>
      <c r="F38" s="9" t="s">
        <v>525</v>
      </c>
      <c r="G38" s="7" t="s">
        <v>21</v>
      </c>
      <c r="H38" s="7" t="s">
        <v>526</v>
      </c>
      <c r="I38" s="7" t="s">
        <v>423</v>
      </c>
      <c r="J38" s="7" t="s">
        <v>18</v>
      </c>
      <c r="K38" s="10"/>
      <c r="L38" s="10"/>
    </row>
    <row r="39">
      <c r="A39" s="7" t="s">
        <v>38</v>
      </c>
      <c r="B39" s="10"/>
      <c r="C39" s="8">
        <f>+12017085703</f>
        <v>12017085703</v>
      </c>
      <c r="D39" s="7">
        <v>4.5</v>
      </c>
      <c r="E39" s="7">
        <v>8.0</v>
      </c>
      <c r="F39" s="9" t="s">
        <v>39</v>
      </c>
      <c r="G39" s="7" t="s">
        <v>21</v>
      </c>
      <c r="H39" s="7" t="s">
        <v>40</v>
      </c>
      <c r="I39" s="7" t="s">
        <v>41</v>
      </c>
      <c r="J39" s="7" t="s">
        <v>18</v>
      </c>
      <c r="K39" s="10"/>
      <c r="L39" s="10"/>
    </row>
    <row r="40">
      <c r="A40" s="7" t="s">
        <v>527</v>
      </c>
      <c r="B40" s="9" t="s">
        <v>528</v>
      </c>
      <c r="C40" s="8">
        <f>+12019489427</f>
        <v>12019489427</v>
      </c>
      <c r="D40" s="7">
        <v>4.9</v>
      </c>
      <c r="E40" s="7">
        <v>365.0</v>
      </c>
      <c r="F40" s="9" t="s">
        <v>529</v>
      </c>
      <c r="G40" s="7" t="s">
        <v>21</v>
      </c>
      <c r="H40" s="7" t="s">
        <v>530</v>
      </c>
      <c r="I40" s="7" t="s">
        <v>79</v>
      </c>
      <c r="J40" s="7" t="s">
        <v>18</v>
      </c>
      <c r="K40" s="10"/>
      <c r="L40" s="10"/>
    </row>
    <row r="41">
      <c r="A41" s="7" t="s">
        <v>42</v>
      </c>
      <c r="B41" s="10"/>
      <c r="C41" s="8">
        <f>+12016416700</f>
        <v>12016416700</v>
      </c>
      <c r="D41" s="7">
        <v>3.7</v>
      </c>
      <c r="E41" s="7">
        <v>3.0</v>
      </c>
      <c r="F41" s="9" t="s">
        <v>43</v>
      </c>
      <c r="G41" s="7" t="s">
        <v>21</v>
      </c>
      <c r="H41" s="10"/>
      <c r="I41" s="7" t="s">
        <v>44</v>
      </c>
      <c r="J41" s="7" t="s">
        <v>37</v>
      </c>
      <c r="K41" s="10"/>
      <c r="L41" s="10"/>
    </row>
    <row r="42">
      <c r="A42" s="7" t="s">
        <v>531</v>
      </c>
      <c r="B42" s="9" t="s">
        <v>532</v>
      </c>
      <c r="C42" s="8">
        <f>+19736667466</f>
        <v>19736667466</v>
      </c>
      <c r="D42" s="7">
        <v>5.0</v>
      </c>
      <c r="E42" s="7">
        <v>720.0</v>
      </c>
      <c r="F42" s="9" t="s">
        <v>533</v>
      </c>
      <c r="G42" s="7" t="s">
        <v>21</v>
      </c>
      <c r="H42" s="7" t="s">
        <v>534</v>
      </c>
      <c r="I42" s="7" t="s">
        <v>423</v>
      </c>
      <c r="J42" s="7" t="s">
        <v>18</v>
      </c>
      <c r="K42" s="10"/>
      <c r="L42" s="10"/>
    </row>
    <row r="43">
      <c r="A43" s="7" t="s">
        <v>535</v>
      </c>
      <c r="B43" s="9" t="s">
        <v>536</v>
      </c>
      <c r="C43" s="8">
        <f>+12012882645</f>
        <v>12012882645</v>
      </c>
      <c r="D43" s="7">
        <v>4.3</v>
      </c>
      <c r="E43" s="7">
        <v>35.0</v>
      </c>
      <c r="F43" s="9" t="s">
        <v>537</v>
      </c>
      <c r="G43" s="7" t="s">
        <v>21</v>
      </c>
      <c r="H43" s="7" t="s">
        <v>538</v>
      </c>
      <c r="I43" s="7" t="s">
        <v>539</v>
      </c>
      <c r="J43" s="7" t="s">
        <v>18</v>
      </c>
      <c r="K43" s="10"/>
      <c r="L43" s="10"/>
    </row>
    <row r="44">
      <c r="A44" s="7" t="s">
        <v>540</v>
      </c>
      <c r="B44" s="9" t="s">
        <v>541</v>
      </c>
      <c r="C44" s="8">
        <f>+12018362901</f>
        <v>12018362901</v>
      </c>
      <c r="D44" s="7">
        <v>4.4</v>
      </c>
      <c r="E44" s="7">
        <v>28.0</v>
      </c>
      <c r="F44" s="9" t="s">
        <v>542</v>
      </c>
      <c r="G44" s="7" t="s">
        <v>21</v>
      </c>
      <c r="H44" s="7" t="s">
        <v>543</v>
      </c>
      <c r="I44" s="7" t="s">
        <v>32</v>
      </c>
      <c r="J44" s="7" t="s">
        <v>18</v>
      </c>
      <c r="K44" s="10"/>
      <c r="L44" s="10"/>
    </row>
    <row r="45">
      <c r="A45" s="7" t="s">
        <v>544</v>
      </c>
      <c r="B45" s="9" t="s">
        <v>545</v>
      </c>
      <c r="C45" s="8">
        <f>+12013317088</f>
        <v>12013317088</v>
      </c>
      <c r="D45" s="7">
        <v>4.6</v>
      </c>
      <c r="E45" s="7">
        <v>89.0</v>
      </c>
      <c r="F45" s="9" t="s">
        <v>546</v>
      </c>
      <c r="G45" s="7" t="s">
        <v>21</v>
      </c>
      <c r="H45" s="7" t="s">
        <v>547</v>
      </c>
      <c r="I45" s="7" t="s">
        <v>28</v>
      </c>
      <c r="J45" s="7" t="s">
        <v>362</v>
      </c>
      <c r="K45" s="10"/>
      <c r="L45" s="10"/>
    </row>
    <row r="46">
      <c r="A46" s="7" t="s">
        <v>45</v>
      </c>
      <c r="B46" s="10"/>
      <c r="C46" s="8">
        <f>+18622006597</f>
        <v>18622006597</v>
      </c>
      <c r="D46" s="7">
        <v>5.0</v>
      </c>
      <c r="E46" s="7">
        <v>44.0</v>
      </c>
      <c r="F46" s="9" t="s">
        <v>46</v>
      </c>
      <c r="G46" s="7" t="s">
        <v>21</v>
      </c>
      <c r="H46" s="7" t="s">
        <v>47</v>
      </c>
      <c r="I46" s="7" t="s">
        <v>28</v>
      </c>
      <c r="J46" s="7" t="s">
        <v>18</v>
      </c>
      <c r="K46" s="10"/>
      <c r="L46" s="10"/>
    </row>
    <row r="47">
      <c r="A47" s="7" t="s">
        <v>48</v>
      </c>
      <c r="B47" s="10"/>
      <c r="C47" s="8">
        <f>+12012063164</f>
        <v>12012063164</v>
      </c>
      <c r="D47" s="7">
        <v>4.2</v>
      </c>
      <c r="E47" s="7">
        <v>11.0</v>
      </c>
      <c r="F47" s="9" t="s">
        <v>49</v>
      </c>
      <c r="G47" s="7" t="s">
        <v>21</v>
      </c>
      <c r="H47" s="7" t="s">
        <v>50</v>
      </c>
      <c r="I47" s="7" t="s">
        <v>51</v>
      </c>
      <c r="J47" s="7" t="s">
        <v>52</v>
      </c>
      <c r="K47" s="10"/>
      <c r="L47" s="10"/>
    </row>
    <row r="48">
      <c r="A48" s="7" t="s">
        <v>53</v>
      </c>
      <c r="B48" s="10"/>
      <c r="C48" s="8">
        <f>+12014943021</f>
        <v>12014943021</v>
      </c>
      <c r="D48" s="7">
        <v>5.0</v>
      </c>
      <c r="E48" s="7">
        <v>21.0</v>
      </c>
      <c r="F48" s="9" t="s">
        <v>54</v>
      </c>
      <c r="G48" s="7" t="s">
        <v>21</v>
      </c>
      <c r="H48" s="7" t="s">
        <v>55</v>
      </c>
      <c r="I48" s="7" t="s">
        <v>56</v>
      </c>
      <c r="J48" s="7" t="s">
        <v>57</v>
      </c>
      <c r="K48" s="10"/>
      <c r="L48" s="10"/>
    </row>
    <row r="49">
      <c r="A49" s="7" t="s">
        <v>548</v>
      </c>
      <c r="B49" s="9" t="s">
        <v>549</v>
      </c>
      <c r="C49" s="8">
        <f>+12018360599</f>
        <v>12018360599</v>
      </c>
      <c r="D49" s="7">
        <v>4.8</v>
      </c>
      <c r="E49" s="7">
        <v>12.0</v>
      </c>
      <c r="F49" s="9" t="s">
        <v>550</v>
      </c>
      <c r="G49" s="7" t="s">
        <v>551</v>
      </c>
      <c r="H49" s="7" t="s">
        <v>552</v>
      </c>
      <c r="I49" s="7" t="s">
        <v>32</v>
      </c>
      <c r="J49" s="7" t="s">
        <v>37</v>
      </c>
      <c r="K49" s="10"/>
      <c r="L49" s="10"/>
    </row>
    <row r="50">
      <c r="A50" s="7" t="s">
        <v>553</v>
      </c>
      <c r="B50" s="9" t="s">
        <v>554</v>
      </c>
      <c r="C50" s="8">
        <f>+12019455682</f>
        <v>12019455682</v>
      </c>
      <c r="D50" s="7">
        <v>4.4</v>
      </c>
      <c r="E50" s="7">
        <v>7.0</v>
      </c>
      <c r="F50" s="9" t="s">
        <v>555</v>
      </c>
      <c r="G50" s="7" t="s">
        <v>21</v>
      </c>
      <c r="H50" s="7" t="s">
        <v>556</v>
      </c>
      <c r="I50" s="7" t="s">
        <v>120</v>
      </c>
      <c r="J50" s="7" t="s">
        <v>37</v>
      </c>
      <c r="K50" s="10"/>
      <c r="L50" s="10"/>
    </row>
    <row r="51">
      <c r="A51" s="7" t="s">
        <v>557</v>
      </c>
      <c r="B51" s="9" t="s">
        <v>558</v>
      </c>
      <c r="C51" s="8">
        <f>+12018842914</f>
        <v>12018842914</v>
      </c>
      <c r="D51" s="7">
        <v>5.0</v>
      </c>
      <c r="E51" s="7">
        <v>25.0</v>
      </c>
      <c r="F51" s="9" t="s">
        <v>559</v>
      </c>
      <c r="G51" s="7" t="s">
        <v>21</v>
      </c>
      <c r="H51" s="7" t="s">
        <v>560</v>
      </c>
      <c r="I51" s="7" t="s">
        <v>561</v>
      </c>
      <c r="J51" s="7" t="s">
        <v>18</v>
      </c>
      <c r="K51" s="10"/>
      <c r="L51" s="10"/>
    </row>
    <row r="52">
      <c r="A52" s="7" t="s">
        <v>562</v>
      </c>
      <c r="B52" s="9" t="s">
        <v>563</v>
      </c>
      <c r="C52" s="8">
        <f>+12012806962</f>
        <v>12012806962</v>
      </c>
      <c r="D52" s="7">
        <v>5.0</v>
      </c>
      <c r="E52" s="7">
        <v>3.0</v>
      </c>
      <c r="F52" s="9" t="s">
        <v>564</v>
      </c>
      <c r="G52" s="7" t="s">
        <v>21</v>
      </c>
      <c r="H52" s="7" t="s">
        <v>565</v>
      </c>
      <c r="I52" s="7" t="s">
        <v>131</v>
      </c>
      <c r="J52" s="7" t="s">
        <v>566</v>
      </c>
      <c r="K52" s="10"/>
      <c r="L52" s="10"/>
    </row>
    <row r="53">
      <c r="A53" s="7" t="s">
        <v>567</v>
      </c>
      <c r="B53" s="9" t="s">
        <v>568</v>
      </c>
      <c r="C53" s="8">
        <f>+12014480760</f>
        <v>12014480760</v>
      </c>
      <c r="D53" s="7">
        <v>5.0</v>
      </c>
      <c r="E53" s="7">
        <v>55.0</v>
      </c>
      <c r="F53" s="9" t="s">
        <v>569</v>
      </c>
      <c r="G53" s="7" t="s">
        <v>21</v>
      </c>
      <c r="H53" s="7" t="s">
        <v>570</v>
      </c>
      <c r="I53" s="7" t="s">
        <v>120</v>
      </c>
      <c r="J53" s="7" t="s">
        <v>18</v>
      </c>
      <c r="K53" s="10"/>
      <c r="L53" s="10"/>
    </row>
    <row r="54">
      <c r="A54" s="7" t="s">
        <v>571</v>
      </c>
      <c r="B54" s="9" t="s">
        <v>572</v>
      </c>
      <c r="C54" s="8">
        <f>+12016386714</f>
        <v>12016386714</v>
      </c>
      <c r="D54" s="7">
        <v>4.9</v>
      </c>
      <c r="E54" s="7">
        <v>75.0</v>
      </c>
      <c r="F54" s="9" t="s">
        <v>573</v>
      </c>
      <c r="G54" s="7" t="s">
        <v>21</v>
      </c>
      <c r="H54" s="10"/>
      <c r="I54" s="10"/>
      <c r="J54" s="7" t="s">
        <v>18</v>
      </c>
      <c r="K54" s="10"/>
      <c r="L54" s="10"/>
    </row>
    <row r="55">
      <c r="A55" s="7" t="s">
        <v>58</v>
      </c>
      <c r="B55" s="10"/>
      <c r="C55" s="8">
        <f>+19082352331</f>
        <v>19082352331</v>
      </c>
      <c r="D55" s="7">
        <v>5.0</v>
      </c>
      <c r="E55" s="7">
        <v>4.0</v>
      </c>
      <c r="F55" s="9" t="s">
        <v>59</v>
      </c>
      <c r="G55" s="7" t="s">
        <v>21</v>
      </c>
      <c r="H55" s="10"/>
      <c r="I55" s="10"/>
      <c r="J55" s="7" t="s">
        <v>18</v>
      </c>
      <c r="K55" s="10"/>
      <c r="L55" s="10"/>
    </row>
    <row r="56">
      <c r="A56" s="7" t="s">
        <v>60</v>
      </c>
      <c r="B56" s="10"/>
      <c r="C56" s="8">
        <f>+12013137066</f>
        <v>12013137066</v>
      </c>
      <c r="D56" s="7">
        <v>5.0</v>
      </c>
      <c r="E56" s="7">
        <v>1.0</v>
      </c>
      <c r="F56" s="9" t="s">
        <v>61</v>
      </c>
      <c r="G56" s="7" t="s">
        <v>21</v>
      </c>
      <c r="H56" s="7" t="s">
        <v>62</v>
      </c>
      <c r="I56" s="7" t="s">
        <v>41</v>
      </c>
      <c r="J56" s="7" t="s">
        <v>37</v>
      </c>
      <c r="K56" s="10"/>
      <c r="L56" s="10"/>
    </row>
    <row r="57">
      <c r="A57" s="7" t="s">
        <v>574</v>
      </c>
      <c r="B57" s="9" t="s">
        <v>575</v>
      </c>
      <c r="C57" s="8">
        <f>+12013156655</f>
        <v>12013156655</v>
      </c>
      <c r="D57" s="7">
        <v>5.0</v>
      </c>
      <c r="E57" s="7">
        <v>248.0</v>
      </c>
      <c r="F57" s="9" t="s">
        <v>576</v>
      </c>
      <c r="G57" s="7" t="s">
        <v>21</v>
      </c>
      <c r="H57" s="7" t="s">
        <v>577</v>
      </c>
      <c r="I57" s="7" t="s">
        <v>423</v>
      </c>
      <c r="J57" s="7" t="s">
        <v>18</v>
      </c>
      <c r="K57" s="10"/>
      <c r="L57" s="10"/>
    </row>
    <row r="58">
      <c r="A58" s="7" t="s">
        <v>578</v>
      </c>
      <c r="B58" s="9" t="s">
        <v>579</v>
      </c>
      <c r="C58" s="8">
        <f>+12015523363</f>
        <v>12015523363</v>
      </c>
      <c r="D58" s="7">
        <v>4.5</v>
      </c>
      <c r="E58" s="7">
        <v>15.0</v>
      </c>
      <c r="F58" s="9" t="s">
        <v>580</v>
      </c>
      <c r="G58" s="7" t="s">
        <v>21</v>
      </c>
      <c r="H58" s="7" t="s">
        <v>581</v>
      </c>
      <c r="I58" s="7" t="s">
        <v>28</v>
      </c>
      <c r="J58" s="7" t="s">
        <v>18</v>
      </c>
      <c r="K58" s="10"/>
      <c r="L58" s="10"/>
    </row>
    <row r="59">
      <c r="A59" s="7" t="s">
        <v>582</v>
      </c>
      <c r="B59" s="9" t="s">
        <v>583</v>
      </c>
      <c r="C59" s="8">
        <f>+18483710217</f>
        <v>18483710217</v>
      </c>
      <c r="D59" s="7">
        <v>5.0</v>
      </c>
      <c r="E59" s="7">
        <v>123.0</v>
      </c>
      <c r="F59" s="9" t="s">
        <v>584</v>
      </c>
      <c r="G59" s="7" t="s">
        <v>21</v>
      </c>
      <c r="H59" s="7" t="s">
        <v>585</v>
      </c>
      <c r="I59" s="7" t="s">
        <v>28</v>
      </c>
      <c r="J59" s="7" t="s">
        <v>18</v>
      </c>
      <c r="K59" s="10"/>
      <c r="L59" s="10"/>
    </row>
    <row r="60">
      <c r="A60" s="7" t="s">
        <v>586</v>
      </c>
      <c r="B60" s="9" t="s">
        <v>587</v>
      </c>
      <c r="C60" s="8">
        <f>+12019667071</f>
        <v>12019667071</v>
      </c>
      <c r="D60" s="7">
        <v>5.0</v>
      </c>
      <c r="E60" s="7">
        <v>15.0</v>
      </c>
      <c r="F60" s="9" t="s">
        <v>588</v>
      </c>
      <c r="G60" s="7" t="s">
        <v>21</v>
      </c>
      <c r="H60" s="7" t="s">
        <v>589</v>
      </c>
      <c r="I60" s="7" t="s">
        <v>423</v>
      </c>
      <c r="J60" s="7" t="s">
        <v>590</v>
      </c>
      <c r="K60" s="10"/>
      <c r="L60" s="10"/>
    </row>
    <row r="61">
      <c r="A61" s="7" t="s">
        <v>63</v>
      </c>
      <c r="B61" s="10"/>
      <c r="C61" s="8">
        <f>+12014884383</f>
        <v>12014884383</v>
      </c>
      <c r="D61" s="7">
        <v>4.1</v>
      </c>
      <c r="E61" s="7">
        <v>299.0</v>
      </c>
      <c r="F61" s="9" t="s">
        <v>64</v>
      </c>
      <c r="G61" s="7" t="s">
        <v>21</v>
      </c>
      <c r="H61" s="10"/>
      <c r="I61" s="10"/>
      <c r="J61" s="7" t="s">
        <v>65</v>
      </c>
      <c r="K61" s="10"/>
      <c r="L61" s="10"/>
    </row>
    <row r="62">
      <c r="A62" s="7" t="s">
        <v>66</v>
      </c>
      <c r="B62" s="10"/>
      <c r="C62" s="8">
        <f>+12014403130</f>
        <v>12014403130</v>
      </c>
      <c r="D62" s="7">
        <v>3.9</v>
      </c>
      <c r="E62" s="7">
        <v>14.0</v>
      </c>
      <c r="F62" s="9" t="s">
        <v>67</v>
      </c>
      <c r="G62" s="7" t="s">
        <v>68</v>
      </c>
      <c r="H62" s="7" t="s">
        <v>69</v>
      </c>
      <c r="I62" s="7" t="s">
        <v>23</v>
      </c>
      <c r="J62" s="7" t="s">
        <v>18</v>
      </c>
      <c r="K62" s="10"/>
      <c r="L62" s="10"/>
    </row>
    <row r="63">
      <c r="A63" s="7" t="s">
        <v>591</v>
      </c>
      <c r="B63" s="9" t="s">
        <v>592</v>
      </c>
      <c r="C63" s="8">
        <f>+16403562700</f>
        <v>16403562700</v>
      </c>
      <c r="D63" s="7">
        <v>4.7</v>
      </c>
      <c r="E63" s="7">
        <v>11.0</v>
      </c>
      <c r="F63" s="9" t="s">
        <v>593</v>
      </c>
      <c r="G63" s="7" t="s">
        <v>68</v>
      </c>
      <c r="H63" s="7" t="s">
        <v>594</v>
      </c>
      <c r="I63" s="7" t="s">
        <v>23</v>
      </c>
      <c r="J63" s="7" t="s">
        <v>136</v>
      </c>
      <c r="K63" s="10"/>
      <c r="L63" s="10"/>
    </row>
    <row r="64">
      <c r="A64" s="7" t="s">
        <v>342</v>
      </c>
      <c r="B64" s="9" t="s">
        <v>343</v>
      </c>
      <c r="C64" s="8">
        <f>+12019278562</f>
        <v>12019278562</v>
      </c>
      <c r="D64" s="7">
        <v>5.0</v>
      </c>
      <c r="E64" s="7">
        <v>18.0</v>
      </c>
      <c r="F64" s="9" t="s">
        <v>344</v>
      </c>
      <c r="G64" s="7" t="s">
        <v>68</v>
      </c>
      <c r="H64" s="7" t="s">
        <v>345</v>
      </c>
      <c r="I64" s="7" t="s">
        <v>44</v>
      </c>
      <c r="J64" s="7" t="s">
        <v>18</v>
      </c>
      <c r="K64" s="10"/>
      <c r="L64" s="10"/>
    </row>
    <row r="65">
      <c r="A65" s="7" t="s">
        <v>70</v>
      </c>
      <c r="B65" s="10"/>
      <c r="C65" s="8">
        <f>+12016413777</f>
        <v>12016413777</v>
      </c>
      <c r="D65" s="10"/>
      <c r="E65" s="7">
        <v>0.0</v>
      </c>
      <c r="F65" s="9" t="s">
        <v>71</v>
      </c>
      <c r="G65" s="7" t="s">
        <v>68</v>
      </c>
      <c r="H65" s="7" t="s">
        <v>72</v>
      </c>
      <c r="I65" s="7" t="s">
        <v>23</v>
      </c>
      <c r="J65" s="7" t="s">
        <v>37</v>
      </c>
      <c r="K65" s="10"/>
      <c r="L65" s="10"/>
    </row>
    <row r="66">
      <c r="A66" s="7" t="s">
        <v>595</v>
      </c>
      <c r="B66" s="9" t="s">
        <v>596</v>
      </c>
      <c r="C66" s="8">
        <f>+12016585403</f>
        <v>12016585403</v>
      </c>
      <c r="D66" s="7">
        <v>5.0</v>
      </c>
      <c r="E66" s="7">
        <v>6.0</v>
      </c>
      <c r="F66" s="9" t="s">
        <v>597</v>
      </c>
      <c r="G66" s="7" t="s">
        <v>68</v>
      </c>
      <c r="H66" s="7" t="s">
        <v>208</v>
      </c>
      <c r="I66" s="7" t="s">
        <v>41</v>
      </c>
      <c r="J66" s="7" t="s">
        <v>598</v>
      </c>
      <c r="K66" s="10"/>
      <c r="L66" s="10"/>
    </row>
    <row r="67">
      <c r="A67" s="7" t="s">
        <v>599</v>
      </c>
      <c r="B67" s="9" t="s">
        <v>600</v>
      </c>
      <c r="C67" s="8">
        <f>+15514044303</f>
        <v>15514044303</v>
      </c>
      <c r="D67" s="7">
        <v>5.0</v>
      </c>
      <c r="E67" s="7">
        <v>6.0</v>
      </c>
      <c r="F67" s="9" t="s">
        <v>601</v>
      </c>
      <c r="G67" s="7" t="s">
        <v>68</v>
      </c>
      <c r="H67" s="7" t="s">
        <v>602</v>
      </c>
      <c r="I67" s="7" t="s">
        <v>44</v>
      </c>
      <c r="J67" s="7" t="s">
        <v>33</v>
      </c>
      <c r="K67" s="10"/>
      <c r="L67" s="10"/>
    </row>
    <row r="68">
      <c r="A68" s="7" t="s">
        <v>346</v>
      </c>
      <c r="B68" s="9" t="s">
        <v>347</v>
      </c>
      <c r="C68" s="8">
        <f>+15517753655</f>
        <v>15517753655</v>
      </c>
      <c r="D68" s="7">
        <v>4.9</v>
      </c>
      <c r="E68" s="7">
        <v>47.0</v>
      </c>
      <c r="F68" s="9" t="s">
        <v>348</v>
      </c>
      <c r="G68" s="7" t="s">
        <v>68</v>
      </c>
      <c r="H68" s="7" t="s">
        <v>349</v>
      </c>
      <c r="I68" s="7" t="s">
        <v>131</v>
      </c>
      <c r="J68" s="7" t="s">
        <v>18</v>
      </c>
      <c r="K68" s="10"/>
      <c r="L68" s="10"/>
    </row>
    <row r="69">
      <c r="A69" s="7" t="s">
        <v>73</v>
      </c>
      <c r="B69" s="10"/>
      <c r="C69" s="8">
        <f>+12014889015</f>
        <v>12014889015</v>
      </c>
      <c r="D69" s="7">
        <v>4.0</v>
      </c>
      <c r="E69" s="7">
        <v>4.0</v>
      </c>
      <c r="F69" s="9" t="s">
        <v>74</v>
      </c>
      <c r="G69" s="7" t="s">
        <v>68</v>
      </c>
      <c r="H69" s="7" t="s">
        <v>75</v>
      </c>
      <c r="I69" s="7" t="s">
        <v>28</v>
      </c>
      <c r="J69" s="7" t="s">
        <v>37</v>
      </c>
      <c r="K69" s="10"/>
      <c r="L69" s="10"/>
    </row>
    <row r="70">
      <c r="A70" s="7" t="s">
        <v>603</v>
      </c>
      <c r="B70" s="9" t="s">
        <v>604</v>
      </c>
      <c r="C70" s="8">
        <f>+12017776610</f>
        <v>12017776610</v>
      </c>
      <c r="D70" s="7">
        <v>5.0</v>
      </c>
      <c r="E70" s="7">
        <v>21.0</v>
      </c>
      <c r="F70" s="9" t="s">
        <v>605</v>
      </c>
      <c r="G70" s="7" t="s">
        <v>606</v>
      </c>
      <c r="H70" s="7" t="s">
        <v>607</v>
      </c>
      <c r="I70" s="7" t="s">
        <v>608</v>
      </c>
      <c r="J70" s="7" t="s">
        <v>18</v>
      </c>
      <c r="K70" s="10"/>
      <c r="L70" s="10"/>
    </row>
    <row r="71">
      <c r="A71" s="7" t="s">
        <v>609</v>
      </c>
      <c r="B71" s="9" t="s">
        <v>610</v>
      </c>
      <c r="C71" s="8">
        <f>+12014894800</f>
        <v>12014894800</v>
      </c>
      <c r="D71" s="7">
        <v>5.0</v>
      </c>
      <c r="E71" s="7">
        <v>1.0</v>
      </c>
      <c r="F71" s="9" t="s">
        <v>611</v>
      </c>
      <c r="G71" s="7" t="s">
        <v>68</v>
      </c>
      <c r="H71" s="7" t="s">
        <v>612</v>
      </c>
      <c r="I71" s="7" t="s">
        <v>28</v>
      </c>
      <c r="J71" s="7" t="s">
        <v>37</v>
      </c>
      <c r="K71" s="10"/>
      <c r="L71" s="10"/>
    </row>
    <row r="72">
      <c r="A72" s="7" t="s">
        <v>350</v>
      </c>
      <c r="B72" s="9" t="s">
        <v>351</v>
      </c>
      <c r="C72" s="8">
        <f>+15512399945</f>
        <v>15512399945</v>
      </c>
      <c r="D72" s="7">
        <v>5.0</v>
      </c>
      <c r="E72" s="7">
        <v>19.0</v>
      </c>
      <c r="F72" s="9" t="s">
        <v>352</v>
      </c>
      <c r="G72" s="7" t="s">
        <v>68</v>
      </c>
      <c r="H72" s="7" t="s">
        <v>353</v>
      </c>
      <c r="I72" s="7" t="s">
        <v>131</v>
      </c>
      <c r="J72" s="7" t="s">
        <v>136</v>
      </c>
      <c r="K72" s="10"/>
      <c r="L72" s="10"/>
    </row>
    <row r="73">
      <c r="A73" s="7" t="s">
        <v>76</v>
      </c>
      <c r="B73" s="10"/>
      <c r="C73" s="8">
        <f>+12012960101</f>
        <v>12012960101</v>
      </c>
      <c r="D73" s="10"/>
      <c r="E73" s="7">
        <v>0.0</v>
      </c>
      <c r="F73" s="9" t="s">
        <v>77</v>
      </c>
      <c r="G73" s="7" t="s">
        <v>68</v>
      </c>
      <c r="H73" s="7" t="s">
        <v>78</v>
      </c>
      <c r="I73" s="7" t="s">
        <v>79</v>
      </c>
      <c r="J73" s="7" t="s">
        <v>80</v>
      </c>
      <c r="K73" s="10"/>
      <c r="L73" s="10"/>
    </row>
    <row r="74">
      <c r="A74" s="7" t="s">
        <v>354</v>
      </c>
      <c r="B74" s="9" t="s">
        <v>355</v>
      </c>
      <c r="C74" s="8">
        <f>+16093590664</f>
        <v>16093590664</v>
      </c>
      <c r="D74" s="7">
        <v>5.0</v>
      </c>
      <c r="E74" s="7">
        <v>7.0</v>
      </c>
      <c r="F74" s="9" t="s">
        <v>356</v>
      </c>
      <c r="G74" s="7" t="s">
        <v>68</v>
      </c>
      <c r="H74" s="7" t="s">
        <v>357</v>
      </c>
      <c r="I74" s="7" t="s">
        <v>56</v>
      </c>
      <c r="J74" s="7" t="s">
        <v>136</v>
      </c>
      <c r="K74" s="10"/>
      <c r="L74" s="10"/>
    </row>
    <row r="75">
      <c r="A75" s="7" t="s">
        <v>81</v>
      </c>
      <c r="B75" s="10"/>
      <c r="C75" s="8">
        <f>+12014870999</f>
        <v>12014870999</v>
      </c>
      <c r="D75" s="7">
        <v>5.0</v>
      </c>
      <c r="E75" s="7">
        <v>2.0</v>
      </c>
      <c r="F75" s="9" t="s">
        <v>82</v>
      </c>
      <c r="G75" s="7" t="s">
        <v>68</v>
      </c>
      <c r="H75" s="7" t="s">
        <v>83</v>
      </c>
      <c r="I75" s="7" t="s">
        <v>51</v>
      </c>
      <c r="J75" s="7" t="s">
        <v>37</v>
      </c>
      <c r="K75" s="10"/>
      <c r="L75" s="10"/>
    </row>
    <row r="76">
      <c r="A76" s="7" t="s">
        <v>613</v>
      </c>
      <c r="B76" s="9" t="s">
        <v>614</v>
      </c>
      <c r="C76" s="8">
        <f>+12019056981</f>
        <v>12019056981</v>
      </c>
      <c r="D76" s="7">
        <v>4.7</v>
      </c>
      <c r="E76" s="7">
        <v>12.0</v>
      </c>
      <c r="F76" s="9" t="s">
        <v>615</v>
      </c>
      <c r="G76" s="7" t="s">
        <v>68</v>
      </c>
      <c r="H76" s="7" t="s">
        <v>616</v>
      </c>
      <c r="I76" s="7" t="s">
        <v>28</v>
      </c>
      <c r="J76" s="7" t="s">
        <v>18</v>
      </c>
      <c r="K76" s="10"/>
      <c r="L76" s="10"/>
    </row>
    <row r="77">
      <c r="A77" s="7" t="s">
        <v>84</v>
      </c>
      <c r="B77" s="10"/>
      <c r="C77" s="8">
        <f>+12019439282</f>
        <v>12019439282</v>
      </c>
      <c r="D77" s="7">
        <v>5.0</v>
      </c>
      <c r="E77" s="7">
        <v>1.0</v>
      </c>
      <c r="F77" s="9" t="s">
        <v>85</v>
      </c>
      <c r="G77" s="7" t="s">
        <v>68</v>
      </c>
      <c r="H77" s="7" t="s">
        <v>86</v>
      </c>
      <c r="I77" s="7" t="s">
        <v>87</v>
      </c>
      <c r="J77" s="7" t="s">
        <v>37</v>
      </c>
      <c r="K77" s="10"/>
      <c r="L77" s="10"/>
    </row>
    <row r="78">
      <c r="A78" s="7" t="s">
        <v>617</v>
      </c>
      <c r="B78" s="9" t="s">
        <v>618</v>
      </c>
      <c r="C78" s="8">
        <f>+18455351289</f>
        <v>18455351289</v>
      </c>
      <c r="D78" s="7">
        <v>5.0</v>
      </c>
      <c r="E78" s="7">
        <v>9.0</v>
      </c>
      <c r="F78" s="9" t="s">
        <v>619</v>
      </c>
      <c r="G78" s="7" t="s">
        <v>606</v>
      </c>
      <c r="H78" s="7" t="s">
        <v>620</v>
      </c>
      <c r="I78" s="7" t="s">
        <v>56</v>
      </c>
      <c r="J78" s="7" t="s">
        <v>18</v>
      </c>
      <c r="K78" s="10"/>
      <c r="L78" s="10"/>
    </row>
    <row r="79">
      <c r="A79" s="7" t="s">
        <v>358</v>
      </c>
      <c r="B79" s="9" t="s">
        <v>359</v>
      </c>
      <c r="C79" s="8">
        <f>+12013980176</f>
        <v>12013980176</v>
      </c>
      <c r="D79" s="7">
        <v>4.9</v>
      </c>
      <c r="E79" s="7">
        <v>35.0</v>
      </c>
      <c r="F79" s="9" t="s">
        <v>360</v>
      </c>
      <c r="G79" s="7" t="s">
        <v>68</v>
      </c>
      <c r="H79" s="7" t="s">
        <v>361</v>
      </c>
      <c r="I79" s="7" t="s">
        <v>23</v>
      </c>
      <c r="J79" s="7" t="s">
        <v>362</v>
      </c>
      <c r="K79" s="10"/>
      <c r="L79" s="10"/>
    </row>
    <row r="80">
      <c r="A80" s="7" t="s">
        <v>363</v>
      </c>
      <c r="B80" s="9" t="s">
        <v>364</v>
      </c>
      <c r="C80" s="8">
        <f>+79219763483</f>
        <v>79219763483</v>
      </c>
      <c r="D80" s="7">
        <v>5.0</v>
      </c>
      <c r="E80" s="7">
        <v>3.0</v>
      </c>
      <c r="F80" s="9" t="s">
        <v>365</v>
      </c>
      <c r="G80" s="7" t="s">
        <v>68</v>
      </c>
      <c r="H80" s="7" t="s">
        <v>366</v>
      </c>
      <c r="I80" s="7" t="s">
        <v>44</v>
      </c>
      <c r="J80" s="7" t="s">
        <v>37</v>
      </c>
      <c r="K80" s="10"/>
      <c r="L80" s="10"/>
    </row>
    <row r="81">
      <c r="A81" s="7" t="s">
        <v>88</v>
      </c>
      <c r="B81" s="10"/>
      <c r="C81" s="8">
        <f>+12014872785</f>
        <v>12014872785</v>
      </c>
      <c r="D81" s="7">
        <v>3.0</v>
      </c>
      <c r="E81" s="7">
        <v>2.0</v>
      </c>
      <c r="F81" s="9" t="s">
        <v>89</v>
      </c>
      <c r="G81" s="7" t="s">
        <v>68</v>
      </c>
      <c r="H81" s="7" t="s">
        <v>90</v>
      </c>
      <c r="I81" s="7" t="s">
        <v>28</v>
      </c>
      <c r="J81" s="7" t="s">
        <v>37</v>
      </c>
      <c r="K81" s="10"/>
      <c r="L81" s="10"/>
    </row>
    <row r="82">
      <c r="A82" s="7" t="s">
        <v>621</v>
      </c>
      <c r="B82" s="9" t="s">
        <v>622</v>
      </c>
      <c r="C82" s="8">
        <f>+12014384242</f>
        <v>12014384242</v>
      </c>
      <c r="D82" s="7">
        <v>4.7</v>
      </c>
      <c r="E82" s="7">
        <v>53.0</v>
      </c>
      <c r="F82" s="9" t="s">
        <v>623</v>
      </c>
      <c r="G82" s="7" t="s">
        <v>68</v>
      </c>
      <c r="H82" s="7" t="s">
        <v>624</v>
      </c>
      <c r="I82" s="7" t="s">
        <v>608</v>
      </c>
      <c r="J82" s="7" t="s">
        <v>18</v>
      </c>
      <c r="K82" s="10"/>
      <c r="L82" s="10"/>
    </row>
    <row r="83">
      <c r="A83" s="7" t="s">
        <v>91</v>
      </c>
      <c r="B83" s="10"/>
      <c r="C83" s="8">
        <f>+18885881304</f>
        <v>18885881304</v>
      </c>
      <c r="D83" s="7">
        <v>5.0</v>
      </c>
      <c r="E83" s="7">
        <v>1.0</v>
      </c>
      <c r="F83" s="9" t="s">
        <v>92</v>
      </c>
      <c r="G83" s="7" t="s">
        <v>68</v>
      </c>
      <c r="H83" s="7" t="s">
        <v>93</v>
      </c>
      <c r="I83" s="7" t="s">
        <v>87</v>
      </c>
      <c r="J83" s="7" t="s">
        <v>94</v>
      </c>
      <c r="K83" s="10"/>
      <c r="L83" s="10"/>
    </row>
    <row r="84">
      <c r="A84" s="7" t="s">
        <v>625</v>
      </c>
      <c r="B84" s="9" t="s">
        <v>626</v>
      </c>
      <c r="C84" s="8">
        <f>+19172158178</f>
        <v>19172158178</v>
      </c>
      <c r="D84" s="7">
        <v>5.0</v>
      </c>
      <c r="E84" s="7">
        <v>7.0</v>
      </c>
      <c r="F84" s="9" t="s">
        <v>627</v>
      </c>
      <c r="G84" s="7" t="s">
        <v>68</v>
      </c>
      <c r="H84" s="7" t="s">
        <v>628</v>
      </c>
      <c r="I84" s="7" t="s">
        <v>539</v>
      </c>
      <c r="J84" s="7" t="s">
        <v>629</v>
      </c>
      <c r="K84" s="10"/>
      <c r="L84" s="10"/>
    </row>
    <row r="85">
      <c r="A85" s="7" t="s">
        <v>95</v>
      </c>
      <c r="B85" s="10"/>
      <c r="C85" s="8">
        <f>+12013907256</f>
        <v>12013907256</v>
      </c>
      <c r="D85" s="7">
        <v>5.0</v>
      </c>
      <c r="E85" s="7">
        <v>10.0</v>
      </c>
      <c r="F85" s="9" t="s">
        <v>96</v>
      </c>
      <c r="G85" s="7" t="s">
        <v>68</v>
      </c>
      <c r="H85" s="7" t="s">
        <v>97</v>
      </c>
      <c r="I85" s="7" t="s">
        <v>98</v>
      </c>
      <c r="J85" s="7" t="s">
        <v>99</v>
      </c>
      <c r="K85" s="10"/>
      <c r="L85" s="10"/>
    </row>
    <row r="86">
      <c r="A86" s="7" t="s">
        <v>100</v>
      </c>
      <c r="B86" s="10"/>
      <c r="C86" s="8">
        <f>+12019474263</f>
        <v>12019474263</v>
      </c>
      <c r="D86" s="7">
        <v>3.5</v>
      </c>
      <c r="E86" s="7">
        <v>6.0</v>
      </c>
      <c r="F86" s="9" t="s">
        <v>101</v>
      </c>
      <c r="G86" s="7" t="s">
        <v>68</v>
      </c>
      <c r="H86" s="7" t="s">
        <v>102</v>
      </c>
      <c r="I86" s="7" t="s">
        <v>87</v>
      </c>
      <c r="J86" s="7" t="s">
        <v>37</v>
      </c>
      <c r="K86" s="10"/>
      <c r="L86" s="10"/>
    </row>
    <row r="87">
      <c r="A87" s="7" t="s">
        <v>103</v>
      </c>
      <c r="B87" s="10"/>
      <c r="C87" s="8">
        <f>+17324666248</f>
        <v>17324666248</v>
      </c>
      <c r="D87" s="7">
        <v>5.0</v>
      </c>
      <c r="E87" s="7">
        <v>2.0</v>
      </c>
      <c r="F87" s="9" t="s">
        <v>104</v>
      </c>
      <c r="G87" s="7" t="s">
        <v>68</v>
      </c>
      <c r="H87" s="7" t="s">
        <v>105</v>
      </c>
      <c r="I87" s="7" t="s">
        <v>23</v>
      </c>
      <c r="J87" s="7" t="s">
        <v>106</v>
      </c>
      <c r="K87" s="10"/>
      <c r="L87" s="10"/>
    </row>
    <row r="88">
      <c r="A88" s="7" t="s">
        <v>107</v>
      </c>
      <c r="B88" s="10"/>
      <c r="C88" s="8">
        <f>+12014065987</f>
        <v>12014065987</v>
      </c>
      <c r="D88" s="7">
        <v>4.4</v>
      </c>
      <c r="E88" s="7">
        <v>5.0</v>
      </c>
      <c r="F88" s="9" t="s">
        <v>108</v>
      </c>
      <c r="G88" s="7" t="s">
        <v>68</v>
      </c>
      <c r="H88" s="7" t="s">
        <v>109</v>
      </c>
      <c r="I88" s="7" t="s">
        <v>41</v>
      </c>
      <c r="J88" s="7" t="s">
        <v>37</v>
      </c>
      <c r="K88" s="10"/>
      <c r="L88" s="10"/>
    </row>
    <row r="89">
      <c r="A89" s="7" t="s">
        <v>367</v>
      </c>
      <c r="B89" s="9" t="s">
        <v>368</v>
      </c>
      <c r="C89" s="8">
        <f>+16097108802</f>
        <v>16097108802</v>
      </c>
      <c r="D89" s="7">
        <v>4.7</v>
      </c>
      <c r="E89" s="7">
        <v>13.0</v>
      </c>
      <c r="F89" s="9" t="s">
        <v>369</v>
      </c>
      <c r="G89" s="7" t="s">
        <v>68</v>
      </c>
      <c r="H89" s="7" t="s">
        <v>370</v>
      </c>
      <c r="I89" s="7" t="s">
        <v>41</v>
      </c>
      <c r="J89" s="7" t="s">
        <v>106</v>
      </c>
      <c r="K89" s="10"/>
      <c r="L89" s="10"/>
    </row>
    <row r="90">
      <c r="A90" s="7" t="s">
        <v>630</v>
      </c>
      <c r="B90" s="9" t="s">
        <v>631</v>
      </c>
      <c r="C90" s="8">
        <f>+12016461040</f>
        <v>12016461040</v>
      </c>
      <c r="D90" s="7">
        <v>5.0</v>
      </c>
      <c r="E90" s="7">
        <v>1.0</v>
      </c>
      <c r="F90" s="9" t="s">
        <v>632</v>
      </c>
      <c r="G90" s="7" t="s">
        <v>68</v>
      </c>
      <c r="H90" s="7" t="s">
        <v>633</v>
      </c>
      <c r="I90" s="7" t="s">
        <v>28</v>
      </c>
      <c r="J90" s="7" t="s">
        <v>260</v>
      </c>
      <c r="K90" s="10"/>
      <c r="L90" s="10"/>
    </row>
    <row r="91">
      <c r="A91" s="7" t="s">
        <v>634</v>
      </c>
      <c r="B91" s="9" t="s">
        <v>635</v>
      </c>
      <c r="C91" s="8">
        <f>+12014886033</f>
        <v>12014886033</v>
      </c>
      <c r="D91" s="7">
        <v>5.0</v>
      </c>
      <c r="E91" s="7">
        <v>1.0</v>
      </c>
      <c r="F91" s="9" t="s">
        <v>636</v>
      </c>
      <c r="G91" s="7" t="s">
        <v>68</v>
      </c>
      <c r="H91" s="7" t="s">
        <v>637</v>
      </c>
      <c r="I91" s="7" t="s">
        <v>28</v>
      </c>
      <c r="J91" s="7" t="s">
        <v>37</v>
      </c>
      <c r="K91" s="10"/>
      <c r="L91" s="10"/>
    </row>
    <row r="92">
      <c r="A92" s="7" t="s">
        <v>638</v>
      </c>
      <c r="B92" s="10"/>
      <c r="C92" s="8">
        <f>+12019434365</f>
        <v>12019434365</v>
      </c>
      <c r="D92" s="7">
        <v>5.0</v>
      </c>
      <c r="E92" s="7">
        <v>2.0</v>
      </c>
      <c r="F92" s="9" t="s">
        <v>639</v>
      </c>
      <c r="G92" s="7" t="s">
        <v>68</v>
      </c>
      <c r="H92" s="7" t="s">
        <v>109</v>
      </c>
      <c r="I92" s="7" t="s">
        <v>41</v>
      </c>
      <c r="J92" s="7" t="s">
        <v>640</v>
      </c>
      <c r="K92" s="10"/>
      <c r="L92" s="10"/>
    </row>
    <row r="93">
      <c r="A93" s="7" t="s">
        <v>641</v>
      </c>
      <c r="B93" s="9" t="s">
        <v>642</v>
      </c>
      <c r="C93" s="8">
        <f>+12014570844</f>
        <v>12014570844</v>
      </c>
      <c r="D93" s="7">
        <v>3.7</v>
      </c>
      <c r="E93" s="7">
        <v>3.0</v>
      </c>
      <c r="F93" s="9" t="s">
        <v>643</v>
      </c>
      <c r="G93" s="7" t="s">
        <v>68</v>
      </c>
      <c r="H93" s="7" t="s">
        <v>644</v>
      </c>
      <c r="I93" s="7" t="s">
        <v>28</v>
      </c>
      <c r="J93" s="7" t="s">
        <v>645</v>
      </c>
      <c r="K93" s="10"/>
      <c r="L93" s="10"/>
    </row>
    <row r="94">
      <c r="A94" s="7" t="s">
        <v>646</v>
      </c>
      <c r="B94" s="9" t="s">
        <v>647</v>
      </c>
      <c r="C94" s="8">
        <f>+12015885623</f>
        <v>12015885623</v>
      </c>
      <c r="D94" s="7">
        <v>4.8</v>
      </c>
      <c r="E94" s="7">
        <v>25.0</v>
      </c>
      <c r="F94" s="9" t="s">
        <v>648</v>
      </c>
      <c r="G94" s="7" t="s">
        <v>68</v>
      </c>
      <c r="H94" s="7" t="s">
        <v>649</v>
      </c>
      <c r="I94" s="7" t="s">
        <v>131</v>
      </c>
      <c r="J94" s="7" t="s">
        <v>362</v>
      </c>
      <c r="K94" s="10"/>
      <c r="L94" s="10"/>
    </row>
    <row r="95">
      <c r="A95" s="7" t="s">
        <v>650</v>
      </c>
      <c r="B95" s="9" t="s">
        <v>651</v>
      </c>
      <c r="C95" s="8">
        <f>+12013506215</f>
        <v>12013506215</v>
      </c>
      <c r="D95" s="7">
        <v>5.0</v>
      </c>
      <c r="E95" s="7">
        <v>2.0</v>
      </c>
      <c r="F95" s="9" t="s">
        <v>652</v>
      </c>
      <c r="G95" s="7" t="s">
        <v>68</v>
      </c>
      <c r="H95" s="7" t="s">
        <v>653</v>
      </c>
      <c r="I95" s="7" t="s">
        <v>561</v>
      </c>
      <c r="J95" s="7" t="s">
        <v>654</v>
      </c>
      <c r="K95" s="10"/>
      <c r="L95" s="10"/>
    </row>
    <row r="96">
      <c r="A96" s="7" t="s">
        <v>655</v>
      </c>
      <c r="B96" s="9" t="s">
        <v>656</v>
      </c>
      <c r="C96" s="8">
        <f>+12019961928</f>
        <v>12019961928</v>
      </c>
      <c r="D96" s="7">
        <v>3.0</v>
      </c>
      <c r="E96" s="7">
        <v>2.0</v>
      </c>
      <c r="F96" s="9" t="s">
        <v>657</v>
      </c>
      <c r="G96" s="7" t="s">
        <v>606</v>
      </c>
      <c r="H96" s="7" t="s">
        <v>658</v>
      </c>
      <c r="I96" s="7" t="s">
        <v>659</v>
      </c>
      <c r="J96" s="7" t="s">
        <v>14</v>
      </c>
      <c r="K96" s="10"/>
      <c r="L96" s="10"/>
    </row>
    <row r="97">
      <c r="A97" s="7" t="s">
        <v>110</v>
      </c>
      <c r="B97" s="10"/>
      <c r="C97" s="8">
        <f>+12013439060</f>
        <v>12013439060</v>
      </c>
      <c r="D97" s="10"/>
      <c r="E97" s="7">
        <v>0.0</v>
      </c>
      <c r="F97" s="9" t="s">
        <v>111</v>
      </c>
      <c r="G97" s="7" t="s">
        <v>68</v>
      </c>
      <c r="H97" s="7" t="s">
        <v>112</v>
      </c>
      <c r="I97" s="7" t="s">
        <v>98</v>
      </c>
      <c r="J97" s="7" t="s">
        <v>37</v>
      </c>
      <c r="K97" s="10"/>
      <c r="L97" s="10"/>
    </row>
    <row r="98">
      <c r="A98" s="7" t="s">
        <v>113</v>
      </c>
      <c r="B98" s="10"/>
      <c r="C98" s="8">
        <f>+15512011745</f>
        <v>15512011745</v>
      </c>
      <c r="D98" s="7">
        <v>3.5</v>
      </c>
      <c r="E98" s="7">
        <v>2.0</v>
      </c>
      <c r="F98" s="9" t="s">
        <v>114</v>
      </c>
      <c r="G98" s="7" t="s">
        <v>68</v>
      </c>
      <c r="H98" s="7" t="s">
        <v>115</v>
      </c>
      <c r="I98" s="7" t="s">
        <v>87</v>
      </c>
      <c r="J98" s="7" t="s">
        <v>116</v>
      </c>
      <c r="K98" s="10"/>
      <c r="L98" s="10"/>
    </row>
    <row r="99">
      <c r="A99" s="7" t="s">
        <v>660</v>
      </c>
      <c r="B99" s="9" t="s">
        <v>661</v>
      </c>
      <c r="C99" s="8">
        <f>+12018370612</f>
        <v>12018370612</v>
      </c>
      <c r="D99" s="7">
        <v>4.2</v>
      </c>
      <c r="E99" s="7">
        <v>6.0</v>
      </c>
      <c r="F99" s="9" t="s">
        <v>662</v>
      </c>
      <c r="G99" s="7" t="s">
        <v>68</v>
      </c>
      <c r="H99" s="7" t="s">
        <v>663</v>
      </c>
      <c r="I99" s="7" t="s">
        <v>32</v>
      </c>
      <c r="J99" s="7" t="s">
        <v>37</v>
      </c>
      <c r="K99" s="10"/>
      <c r="L99" s="10"/>
    </row>
    <row r="100">
      <c r="A100" s="7" t="s">
        <v>664</v>
      </c>
      <c r="B100" s="9" t="s">
        <v>665</v>
      </c>
      <c r="C100" s="8">
        <f>+12019351200</f>
        <v>12019351200</v>
      </c>
      <c r="D100" s="7">
        <v>4.6</v>
      </c>
      <c r="E100" s="7">
        <v>11.0</v>
      </c>
      <c r="F100" s="9" t="s">
        <v>666</v>
      </c>
      <c r="G100" s="7" t="s">
        <v>606</v>
      </c>
      <c r="H100" s="7" t="s">
        <v>667</v>
      </c>
      <c r="I100" s="7" t="s">
        <v>668</v>
      </c>
      <c r="J100" s="7" t="s">
        <v>501</v>
      </c>
      <c r="K100" s="10"/>
      <c r="L100" s="10"/>
    </row>
    <row r="101">
      <c r="A101" s="7" t="s">
        <v>613</v>
      </c>
      <c r="B101" s="9" t="s">
        <v>614</v>
      </c>
      <c r="C101" s="8">
        <f>+12015153338</f>
        <v>12015153338</v>
      </c>
      <c r="D101" s="7">
        <v>4.9</v>
      </c>
      <c r="E101" s="7">
        <v>21.0</v>
      </c>
      <c r="F101" s="9" t="s">
        <v>669</v>
      </c>
      <c r="G101" s="7" t="s">
        <v>68</v>
      </c>
      <c r="H101" s="7" t="s">
        <v>670</v>
      </c>
      <c r="I101" s="7" t="s">
        <v>32</v>
      </c>
      <c r="J101" s="7" t="s">
        <v>18</v>
      </c>
      <c r="K101" s="10"/>
      <c r="L101" s="10"/>
    </row>
    <row r="102">
      <c r="A102" s="7" t="s">
        <v>671</v>
      </c>
      <c r="B102" s="9" t="s">
        <v>672</v>
      </c>
      <c r="C102" s="8">
        <f>+12014404199</f>
        <v>12014404199</v>
      </c>
      <c r="D102" s="7">
        <v>5.0</v>
      </c>
      <c r="E102" s="7">
        <v>1.0</v>
      </c>
      <c r="F102" s="9" t="s">
        <v>673</v>
      </c>
      <c r="G102" s="7" t="s">
        <v>68</v>
      </c>
      <c r="H102" s="10"/>
      <c r="I102" s="7" t="s">
        <v>79</v>
      </c>
      <c r="J102" s="7" t="s">
        <v>37</v>
      </c>
      <c r="K102" s="10"/>
      <c r="L102" s="10"/>
    </row>
    <row r="103">
      <c r="A103" s="7" t="s">
        <v>674</v>
      </c>
      <c r="B103" s="9" t="s">
        <v>675</v>
      </c>
      <c r="C103" s="8">
        <f>+17188657953</f>
        <v>17188657953</v>
      </c>
      <c r="D103" s="7">
        <v>5.0</v>
      </c>
      <c r="E103" s="7">
        <v>44.0</v>
      </c>
      <c r="F103" s="9" t="s">
        <v>676</v>
      </c>
      <c r="G103" s="7" t="s">
        <v>68</v>
      </c>
      <c r="H103" s="7" t="s">
        <v>677</v>
      </c>
      <c r="I103" s="7" t="s">
        <v>131</v>
      </c>
      <c r="J103" s="7" t="s">
        <v>678</v>
      </c>
      <c r="K103" s="10"/>
      <c r="L103" s="10"/>
    </row>
    <row r="104">
      <c r="A104" s="7" t="s">
        <v>679</v>
      </c>
      <c r="B104" s="9" t="s">
        <v>680</v>
      </c>
      <c r="C104" s="8">
        <f>+12124570922</f>
        <v>12124570922</v>
      </c>
      <c r="D104" s="10"/>
      <c r="E104" s="7">
        <v>0.0</v>
      </c>
      <c r="F104" s="9" t="s">
        <v>681</v>
      </c>
      <c r="G104" s="7" t="s">
        <v>68</v>
      </c>
      <c r="H104" s="7" t="s">
        <v>78</v>
      </c>
      <c r="I104" s="7" t="s">
        <v>79</v>
      </c>
      <c r="J104" s="7" t="s">
        <v>121</v>
      </c>
      <c r="K104" s="10"/>
      <c r="L104" s="10"/>
    </row>
    <row r="105">
      <c r="A105" s="7" t="s">
        <v>117</v>
      </c>
      <c r="B105" s="10"/>
      <c r="C105" s="8">
        <f>+12019438079</f>
        <v>12019438079</v>
      </c>
      <c r="D105" s="7">
        <v>3.8</v>
      </c>
      <c r="E105" s="7">
        <v>6.0</v>
      </c>
      <c r="F105" s="9" t="s">
        <v>118</v>
      </c>
      <c r="G105" s="7" t="s">
        <v>68</v>
      </c>
      <c r="H105" s="7" t="s">
        <v>119</v>
      </c>
      <c r="I105" s="7" t="s">
        <v>120</v>
      </c>
      <c r="J105" s="7" t="s">
        <v>121</v>
      </c>
      <c r="K105" s="10"/>
      <c r="L105" s="10"/>
    </row>
    <row r="106">
      <c r="A106" s="7" t="s">
        <v>110</v>
      </c>
      <c r="B106" s="10"/>
      <c r="C106" s="8">
        <f>+12013439060</f>
        <v>12013439060</v>
      </c>
      <c r="D106" s="7">
        <v>5.0</v>
      </c>
      <c r="E106" s="7">
        <v>1.0</v>
      </c>
      <c r="F106" s="9" t="s">
        <v>122</v>
      </c>
      <c r="G106" s="7" t="s">
        <v>68</v>
      </c>
      <c r="H106" s="7" t="s">
        <v>123</v>
      </c>
      <c r="I106" s="7" t="s">
        <v>28</v>
      </c>
      <c r="J106" s="7" t="s">
        <v>37</v>
      </c>
      <c r="K106" s="10"/>
      <c r="L106" s="10"/>
    </row>
    <row r="107">
      <c r="A107" s="7" t="s">
        <v>124</v>
      </c>
      <c r="B107" s="10"/>
      <c r="C107" s="8">
        <f>+12016627269</f>
        <v>12016627269</v>
      </c>
      <c r="D107" s="7">
        <v>5.0</v>
      </c>
      <c r="E107" s="7">
        <v>6.0</v>
      </c>
      <c r="F107" s="9" t="s">
        <v>125</v>
      </c>
      <c r="G107" s="7" t="s">
        <v>68</v>
      </c>
      <c r="H107" s="7" t="s">
        <v>126</v>
      </c>
      <c r="I107" s="7" t="s">
        <v>127</v>
      </c>
      <c r="J107" s="7" t="s">
        <v>37</v>
      </c>
      <c r="K107" s="10"/>
      <c r="L107" s="10"/>
    </row>
    <row r="108">
      <c r="A108" s="7" t="s">
        <v>128</v>
      </c>
      <c r="B108" s="10"/>
      <c r="C108" s="8">
        <f>+12013460194</f>
        <v>12013460194</v>
      </c>
      <c r="D108" s="7">
        <v>3.0</v>
      </c>
      <c r="E108" s="7">
        <v>2.0</v>
      </c>
      <c r="F108" s="9" t="s">
        <v>129</v>
      </c>
      <c r="G108" s="7" t="s">
        <v>68</v>
      </c>
      <c r="H108" s="7" t="s">
        <v>130</v>
      </c>
      <c r="I108" s="7" t="s">
        <v>131</v>
      </c>
      <c r="J108" s="7" t="s">
        <v>37</v>
      </c>
      <c r="K108" s="10"/>
      <c r="L108" s="10"/>
    </row>
    <row r="109">
      <c r="A109" s="7" t="s">
        <v>371</v>
      </c>
      <c r="B109" s="9" t="s">
        <v>372</v>
      </c>
      <c r="C109" s="8">
        <f>+12018352956</f>
        <v>12018352956</v>
      </c>
      <c r="D109" s="7">
        <v>5.0</v>
      </c>
      <c r="E109" s="7">
        <v>40.0</v>
      </c>
      <c r="F109" s="9" t="s">
        <v>373</v>
      </c>
      <c r="G109" s="7" t="s">
        <v>68</v>
      </c>
      <c r="H109" s="10"/>
      <c r="I109" s="10"/>
      <c r="J109" s="7" t="s">
        <v>374</v>
      </c>
      <c r="K109" s="10"/>
      <c r="L109" s="10"/>
    </row>
    <row r="110">
      <c r="A110" s="7" t="s">
        <v>132</v>
      </c>
      <c r="B110" s="10"/>
      <c r="C110" s="8">
        <f>+15512965348</f>
        <v>15512965348</v>
      </c>
      <c r="D110" s="7">
        <v>5.0</v>
      </c>
      <c r="E110" s="7">
        <v>9.0</v>
      </c>
      <c r="F110" s="9" t="s">
        <v>133</v>
      </c>
      <c r="G110" s="7" t="s">
        <v>68</v>
      </c>
      <c r="H110" s="7" t="s">
        <v>134</v>
      </c>
      <c r="I110" s="7" t="s">
        <v>135</v>
      </c>
      <c r="J110" s="7" t="s">
        <v>136</v>
      </c>
      <c r="K110" s="10"/>
      <c r="L110" s="10"/>
    </row>
    <row r="111">
      <c r="A111" s="7" t="s">
        <v>137</v>
      </c>
      <c r="B111" s="10"/>
      <c r="C111" s="8">
        <f>+15512011754</f>
        <v>15512011754</v>
      </c>
      <c r="D111" s="7">
        <v>5.0</v>
      </c>
      <c r="E111" s="7">
        <v>2.0</v>
      </c>
      <c r="F111" s="9" t="s">
        <v>138</v>
      </c>
      <c r="G111" s="7" t="s">
        <v>68</v>
      </c>
      <c r="H111" s="7" t="s">
        <v>139</v>
      </c>
      <c r="I111" s="7" t="s">
        <v>79</v>
      </c>
      <c r="J111" s="7" t="s">
        <v>140</v>
      </c>
      <c r="K111" s="10"/>
      <c r="L111" s="10"/>
    </row>
    <row r="112">
      <c r="A112" s="7" t="s">
        <v>682</v>
      </c>
      <c r="B112" s="9" t="s">
        <v>683</v>
      </c>
      <c r="C112" s="8">
        <f>+12014402100</f>
        <v>12014402100</v>
      </c>
      <c r="D112" s="7">
        <v>4.7</v>
      </c>
      <c r="E112" s="7">
        <v>744.0</v>
      </c>
      <c r="F112" s="9" t="s">
        <v>684</v>
      </c>
      <c r="G112" s="7" t="s">
        <v>143</v>
      </c>
      <c r="H112" s="7" t="s">
        <v>148</v>
      </c>
      <c r="I112" s="7" t="s">
        <v>23</v>
      </c>
      <c r="J112" s="7" t="s">
        <v>145</v>
      </c>
      <c r="K112" s="10"/>
      <c r="L112" s="10"/>
    </row>
    <row r="113">
      <c r="A113" s="7" t="s">
        <v>685</v>
      </c>
      <c r="B113" s="9" t="s">
        <v>686</v>
      </c>
      <c r="C113" s="8">
        <f>+12016415240</f>
        <v>12016415240</v>
      </c>
      <c r="D113" s="7">
        <v>4.6</v>
      </c>
      <c r="E113" s="7">
        <v>504.0</v>
      </c>
      <c r="F113" s="9" t="s">
        <v>687</v>
      </c>
      <c r="G113" s="7" t="s">
        <v>143</v>
      </c>
      <c r="H113" s="7" t="s">
        <v>688</v>
      </c>
      <c r="I113" s="7" t="s">
        <v>28</v>
      </c>
      <c r="J113" s="7" t="s">
        <v>689</v>
      </c>
      <c r="K113" s="10"/>
      <c r="L113" s="10"/>
    </row>
    <row r="114">
      <c r="A114" s="7" t="s">
        <v>690</v>
      </c>
      <c r="B114" s="9" t="s">
        <v>691</v>
      </c>
      <c r="C114" s="8">
        <f>+12014400434</f>
        <v>12014400434</v>
      </c>
      <c r="D114" s="7">
        <v>4.9</v>
      </c>
      <c r="E114" s="7">
        <v>298.0</v>
      </c>
      <c r="F114" s="9" t="s">
        <v>692</v>
      </c>
      <c r="G114" s="7" t="s">
        <v>143</v>
      </c>
      <c r="H114" s="7" t="s">
        <v>693</v>
      </c>
      <c r="I114" s="7" t="s">
        <v>23</v>
      </c>
      <c r="J114" s="7" t="s">
        <v>694</v>
      </c>
      <c r="K114" s="10"/>
      <c r="L114" s="10"/>
    </row>
    <row r="115">
      <c r="A115" s="7" t="s">
        <v>695</v>
      </c>
      <c r="B115" s="9" t="s">
        <v>696</v>
      </c>
      <c r="C115" s="8">
        <f>+12012676700</f>
        <v>12012676700</v>
      </c>
      <c r="D115" s="7">
        <v>4.8</v>
      </c>
      <c r="E115" s="7">
        <v>606.0</v>
      </c>
      <c r="F115" s="9" t="s">
        <v>697</v>
      </c>
      <c r="G115" s="7" t="s">
        <v>143</v>
      </c>
      <c r="H115" s="7" t="s">
        <v>698</v>
      </c>
      <c r="I115" s="7" t="s">
        <v>23</v>
      </c>
      <c r="J115" s="7" t="s">
        <v>699</v>
      </c>
      <c r="K115" s="10"/>
      <c r="L115" s="10"/>
    </row>
    <row r="116">
      <c r="A116" s="7" t="s">
        <v>700</v>
      </c>
      <c r="B116" s="9" t="s">
        <v>701</v>
      </c>
      <c r="C116" s="8">
        <f>+12016411111</f>
        <v>12016411111</v>
      </c>
      <c r="D116" s="7">
        <v>5.0</v>
      </c>
      <c r="E116" s="7">
        <v>132.0</v>
      </c>
      <c r="F116" s="9" t="s">
        <v>702</v>
      </c>
      <c r="G116" s="7" t="s">
        <v>143</v>
      </c>
      <c r="H116" s="7" t="s">
        <v>703</v>
      </c>
      <c r="I116" s="7" t="s">
        <v>23</v>
      </c>
      <c r="J116" s="7" t="s">
        <v>704</v>
      </c>
      <c r="K116" s="10"/>
      <c r="L116" s="10"/>
    </row>
    <row r="117">
      <c r="A117" s="7" t="s">
        <v>141</v>
      </c>
      <c r="B117" s="10"/>
      <c r="C117" s="8">
        <f>+12014402100</f>
        <v>12014402100</v>
      </c>
      <c r="D117" s="7">
        <v>3.5</v>
      </c>
      <c r="E117" s="7">
        <v>10.0</v>
      </c>
      <c r="F117" s="9" t="s">
        <v>142</v>
      </c>
      <c r="G117" s="7" t="s">
        <v>143</v>
      </c>
      <c r="H117" s="7" t="s">
        <v>144</v>
      </c>
      <c r="I117" s="7" t="s">
        <v>23</v>
      </c>
      <c r="J117" s="7" t="s">
        <v>145</v>
      </c>
      <c r="K117" s="10"/>
      <c r="L117" s="10"/>
    </row>
    <row r="118">
      <c r="A118" s="7" t="s">
        <v>705</v>
      </c>
      <c r="B118" s="9" t="s">
        <v>706</v>
      </c>
      <c r="C118" s="8">
        <f>+12014405533</f>
        <v>12014405533</v>
      </c>
      <c r="D118" s="7">
        <v>4.9</v>
      </c>
      <c r="E118" s="7">
        <v>311.0</v>
      </c>
      <c r="F118" s="9" t="s">
        <v>707</v>
      </c>
      <c r="G118" s="7" t="s">
        <v>143</v>
      </c>
      <c r="H118" s="7" t="s">
        <v>708</v>
      </c>
      <c r="I118" s="7" t="s">
        <v>23</v>
      </c>
      <c r="J118" s="7" t="s">
        <v>709</v>
      </c>
      <c r="K118" s="10"/>
      <c r="L118" s="10"/>
    </row>
    <row r="119">
      <c r="A119" s="7" t="s">
        <v>146</v>
      </c>
      <c r="B119" s="10"/>
      <c r="C119" s="8">
        <f>+12014402100</f>
        <v>12014402100</v>
      </c>
      <c r="D119" s="7">
        <v>4.3</v>
      </c>
      <c r="E119" s="7">
        <v>11.0</v>
      </c>
      <c r="F119" s="9" t="s">
        <v>147</v>
      </c>
      <c r="G119" s="7" t="s">
        <v>143</v>
      </c>
      <c r="H119" s="7" t="s">
        <v>148</v>
      </c>
      <c r="I119" s="7" t="s">
        <v>23</v>
      </c>
      <c r="J119" s="7" t="s">
        <v>149</v>
      </c>
      <c r="K119" s="10"/>
      <c r="L119" s="10"/>
    </row>
    <row r="120">
      <c r="A120" s="7" t="s">
        <v>710</v>
      </c>
      <c r="B120" s="9" t="s">
        <v>711</v>
      </c>
      <c r="C120" s="8">
        <f>+12018364400</f>
        <v>12018364400</v>
      </c>
      <c r="D120" s="7">
        <v>4.9</v>
      </c>
      <c r="E120" s="7">
        <v>894.0</v>
      </c>
      <c r="F120" s="9" t="s">
        <v>712</v>
      </c>
      <c r="G120" s="7" t="s">
        <v>143</v>
      </c>
      <c r="H120" s="7" t="s">
        <v>713</v>
      </c>
      <c r="I120" s="7" t="s">
        <v>32</v>
      </c>
      <c r="J120" s="7" t="s">
        <v>714</v>
      </c>
      <c r="K120" s="10"/>
      <c r="L120" s="10"/>
    </row>
    <row r="121">
      <c r="A121" s="7" t="s">
        <v>715</v>
      </c>
      <c r="B121" s="9" t="s">
        <v>716</v>
      </c>
      <c r="C121" s="8">
        <f>+12019450123</f>
        <v>12019450123</v>
      </c>
      <c r="D121" s="7">
        <v>4.5</v>
      </c>
      <c r="E121" s="7">
        <v>11.0</v>
      </c>
      <c r="F121" s="9" t="s">
        <v>717</v>
      </c>
      <c r="G121" s="7" t="s">
        <v>143</v>
      </c>
      <c r="H121" s="7" t="s">
        <v>718</v>
      </c>
      <c r="I121" s="7" t="s">
        <v>41</v>
      </c>
      <c r="J121" s="7" t="s">
        <v>719</v>
      </c>
      <c r="K121" s="10"/>
      <c r="L121" s="10"/>
    </row>
    <row r="122">
      <c r="A122" s="7" t="s">
        <v>720</v>
      </c>
      <c r="B122" s="9" t="s">
        <v>721</v>
      </c>
      <c r="C122" s="8">
        <f>+12016419119</f>
        <v>12016419119</v>
      </c>
      <c r="D122" s="7">
        <v>5.0</v>
      </c>
      <c r="E122" s="7">
        <v>67.0</v>
      </c>
      <c r="F122" s="9" t="s">
        <v>722</v>
      </c>
      <c r="G122" s="7" t="s">
        <v>143</v>
      </c>
      <c r="H122" s="7" t="s">
        <v>723</v>
      </c>
      <c r="I122" s="7" t="s">
        <v>44</v>
      </c>
      <c r="J122" s="7" t="s">
        <v>724</v>
      </c>
      <c r="K122" s="10"/>
      <c r="L122" s="10"/>
    </row>
    <row r="123">
      <c r="A123" s="7" t="s">
        <v>725</v>
      </c>
      <c r="B123" s="9" t="s">
        <v>726</v>
      </c>
      <c r="C123" s="8">
        <f>+12015004760</f>
        <v>12015004760</v>
      </c>
      <c r="D123" s="7">
        <v>4.8</v>
      </c>
      <c r="E123" s="7">
        <v>784.0</v>
      </c>
      <c r="F123" s="9" t="s">
        <v>727</v>
      </c>
      <c r="G123" s="7" t="s">
        <v>143</v>
      </c>
      <c r="H123" s="7" t="s">
        <v>728</v>
      </c>
      <c r="I123" s="7" t="s">
        <v>51</v>
      </c>
      <c r="J123" s="7" t="s">
        <v>729</v>
      </c>
      <c r="K123" s="10"/>
      <c r="L123" s="10"/>
    </row>
    <row r="124">
      <c r="A124" s="7" t="s">
        <v>730</v>
      </c>
      <c r="B124" s="9" t="s">
        <v>683</v>
      </c>
      <c r="C124" s="8">
        <f>+12014888866</f>
        <v>12014888866</v>
      </c>
      <c r="D124" s="7">
        <v>4.7</v>
      </c>
      <c r="E124" s="7">
        <v>965.0</v>
      </c>
      <c r="F124" s="9" t="s">
        <v>731</v>
      </c>
      <c r="G124" s="7" t="s">
        <v>732</v>
      </c>
      <c r="H124" s="7" t="s">
        <v>733</v>
      </c>
      <c r="I124" s="7" t="s">
        <v>28</v>
      </c>
      <c r="J124" s="7" t="s">
        <v>191</v>
      </c>
      <c r="K124" s="10"/>
      <c r="L124" s="10"/>
    </row>
    <row r="125">
      <c r="A125" s="7" t="s">
        <v>734</v>
      </c>
      <c r="B125" s="9" t="s">
        <v>735</v>
      </c>
      <c r="C125" s="8">
        <f>+12019418087</f>
        <v>12019418087</v>
      </c>
      <c r="D125" s="7">
        <v>5.0</v>
      </c>
      <c r="E125" s="7">
        <v>27.0</v>
      </c>
      <c r="F125" s="9" t="s">
        <v>736</v>
      </c>
      <c r="G125" s="7" t="s">
        <v>143</v>
      </c>
      <c r="H125" s="7" t="s">
        <v>737</v>
      </c>
      <c r="I125" s="7" t="s">
        <v>41</v>
      </c>
      <c r="J125" s="7" t="s">
        <v>738</v>
      </c>
      <c r="K125" s="10"/>
      <c r="L125" s="10"/>
    </row>
    <row r="126">
      <c r="A126" s="7" t="s">
        <v>739</v>
      </c>
      <c r="B126" s="9" t="s">
        <v>740</v>
      </c>
      <c r="C126" s="8">
        <f>+12018373000</f>
        <v>12018373000</v>
      </c>
      <c r="D126" s="7">
        <v>4.9</v>
      </c>
      <c r="E126" s="7">
        <v>129.0</v>
      </c>
      <c r="F126" s="9" t="s">
        <v>741</v>
      </c>
      <c r="G126" s="7" t="s">
        <v>143</v>
      </c>
      <c r="H126" s="7" t="s">
        <v>742</v>
      </c>
      <c r="I126" s="7" t="s">
        <v>32</v>
      </c>
      <c r="J126" s="7" t="s">
        <v>743</v>
      </c>
      <c r="K126" s="10"/>
      <c r="L126" s="10"/>
    </row>
    <row r="127">
      <c r="A127" s="7" t="s">
        <v>150</v>
      </c>
      <c r="B127" s="10"/>
      <c r="C127" s="8">
        <f>+12012676700</f>
        <v>12012676700</v>
      </c>
      <c r="D127" s="7">
        <v>2.3</v>
      </c>
      <c r="E127" s="7">
        <v>3.0</v>
      </c>
      <c r="F127" s="9" t="s">
        <v>151</v>
      </c>
      <c r="G127" s="7" t="s">
        <v>143</v>
      </c>
      <c r="H127" s="7" t="s">
        <v>152</v>
      </c>
      <c r="I127" s="7" t="s">
        <v>23</v>
      </c>
      <c r="J127" s="7" t="s">
        <v>37</v>
      </c>
      <c r="K127" s="10"/>
      <c r="L127" s="10"/>
    </row>
    <row r="128">
      <c r="A128" s="7" t="s">
        <v>744</v>
      </c>
      <c r="B128" s="9" t="s">
        <v>745</v>
      </c>
      <c r="C128" s="8">
        <f t="shared" ref="C128:C129" si="1">+12013428585</f>
        <v>12013428585</v>
      </c>
      <c r="D128" s="7">
        <v>5.0</v>
      </c>
      <c r="E128" s="7">
        <v>15.0</v>
      </c>
      <c r="F128" s="9" t="s">
        <v>746</v>
      </c>
      <c r="G128" s="7" t="s">
        <v>143</v>
      </c>
      <c r="H128" s="7" t="s">
        <v>747</v>
      </c>
      <c r="I128" s="7" t="s">
        <v>44</v>
      </c>
      <c r="J128" s="7" t="s">
        <v>748</v>
      </c>
      <c r="K128" s="10"/>
      <c r="L128" s="10"/>
    </row>
    <row r="129">
      <c r="A129" s="7" t="s">
        <v>749</v>
      </c>
      <c r="B129" s="9" t="s">
        <v>750</v>
      </c>
      <c r="C129" s="8">
        <f t="shared" si="1"/>
        <v>12013428585</v>
      </c>
      <c r="D129" s="7">
        <v>4.9</v>
      </c>
      <c r="E129" s="7">
        <v>145.0</v>
      </c>
      <c r="F129" s="9" t="s">
        <v>751</v>
      </c>
      <c r="G129" s="7" t="s">
        <v>143</v>
      </c>
      <c r="H129" s="7" t="s">
        <v>747</v>
      </c>
      <c r="I129" s="7" t="s">
        <v>44</v>
      </c>
      <c r="J129" s="7" t="s">
        <v>752</v>
      </c>
      <c r="K129" s="10"/>
      <c r="L129" s="10"/>
    </row>
    <row r="130">
      <c r="A130" s="7" t="s">
        <v>753</v>
      </c>
      <c r="B130" s="9" t="s">
        <v>754</v>
      </c>
      <c r="C130" s="8">
        <f>+12019439424</f>
        <v>12019439424</v>
      </c>
      <c r="D130" s="7">
        <v>5.0</v>
      </c>
      <c r="E130" s="7">
        <v>129.0</v>
      </c>
      <c r="F130" s="9" t="s">
        <v>755</v>
      </c>
      <c r="G130" s="7" t="s">
        <v>143</v>
      </c>
      <c r="H130" s="7" t="s">
        <v>756</v>
      </c>
      <c r="I130" s="7" t="s">
        <v>41</v>
      </c>
      <c r="J130" s="7" t="s">
        <v>757</v>
      </c>
      <c r="K130" s="10"/>
      <c r="L130" s="10"/>
    </row>
    <row r="131">
      <c r="A131" s="7" t="s">
        <v>758</v>
      </c>
      <c r="B131" s="9" t="s">
        <v>759</v>
      </c>
      <c r="C131" s="8">
        <f>+12014579595</f>
        <v>12014579595</v>
      </c>
      <c r="D131" s="7">
        <v>4.9</v>
      </c>
      <c r="E131" s="7">
        <v>485.0</v>
      </c>
      <c r="F131" s="9" t="s">
        <v>760</v>
      </c>
      <c r="G131" s="7" t="s">
        <v>143</v>
      </c>
      <c r="H131" s="7" t="s">
        <v>761</v>
      </c>
      <c r="I131" s="7" t="s">
        <v>28</v>
      </c>
      <c r="J131" s="7" t="s">
        <v>762</v>
      </c>
      <c r="K131" s="10"/>
      <c r="L131" s="10"/>
    </row>
    <row r="132">
      <c r="A132" s="7" t="s">
        <v>153</v>
      </c>
      <c r="B132" s="10"/>
      <c r="C132" s="8">
        <f>+12016763003</f>
        <v>12016763003</v>
      </c>
      <c r="D132" s="7">
        <v>4.3</v>
      </c>
      <c r="E132" s="7">
        <v>62.0</v>
      </c>
      <c r="F132" s="9" t="s">
        <v>154</v>
      </c>
      <c r="G132" s="7" t="s">
        <v>155</v>
      </c>
      <c r="H132" s="7" t="s">
        <v>156</v>
      </c>
      <c r="I132" s="7" t="s">
        <v>87</v>
      </c>
      <c r="J132" s="7" t="s">
        <v>157</v>
      </c>
      <c r="K132" s="10"/>
      <c r="L132" s="10"/>
    </row>
    <row r="133">
      <c r="A133" s="7" t="s">
        <v>763</v>
      </c>
      <c r="B133" s="9" t="s">
        <v>764</v>
      </c>
      <c r="C133" s="8">
        <f>+12018362720</f>
        <v>12018362720</v>
      </c>
      <c r="D133" s="7">
        <v>5.0</v>
      </c>
      <c r="E133" s="7">
        <v>192.0</v>
      </c>
      <c r="F133" s="9" t="s">
        <v>765</v>
      </c>
      <c r="G133" s="7" t="s">
        <v>143</v>
      </c>
      <c r="H133" s="7" t="s">
        <v>766</v>
      </c>
      <c r="I133" s="7" t="s">
        <v>32</v>
      </c>
      <c r="J133" s="7" t="s">
        <v>767</v>
      </c>
      <c r="K133" s="10"/>
      <c r="L133" s="10"/>
    </row>
    <row r="134">
      <c r="A134" s="7" t="s">
        <v>158</v>
      </c>
      <c r="B134" s="10"/>
      <c r="C134" s="8">
        <f>+12014615171</f>
        <v>12014615171</v>
      </c>
      <c r="D134" s="7">
        <v>4.6</v>
      </c>
      <c r="E134" s="7">
        <v>45.0</v>
      </c>
      <c r="F134" s="9" t="s">
        <v>159</v>
      </c>
      <c r="G134" s="7" t="s">
        <v>143</v>
      </c>
      <c r="H134" s="7" t="s">
        <v>160</v>
      </c>
      <c r="I134" s="7" t="s">
        <v>87</v>
      </c>
      <c r="J134" s="7" t="s">
        <v>161</v>
      </c>
      <c r="K134" s="10"/>
      <c r="L134" s="10"/>
    </row>
    <row r="135">
      <c r="A135" s="7" t="s">
        <v>768</v>
      </c>
      <c r="B135" s="9" t="s">
        <v>769</v>
      </c>
      <c r="C135" s="8">
        <f>+12012040182</f>
        <v>12012040182</v>
      </c>
      <c r="D135" s="7">
        <v>4.7</v>
      </c>
      <c r="E135" s="7">
        <v>119.0</v>
      </c>
      <c r="F135" s="9" t="s">
        <v>770</v>
      </c>
      <c r="G135" s="7" t="s">
        <v>143</v>
      </c>
      <c r="H135" s="7" t="s">
        <v>771</v>
      </c>
      <c r="I135" s="7" t="s">
        <v>41</v>
      </c>
      <c r="J135" s="7" t="s">
        <v>772</v>
      </c>
      <c r="K135" s="10"/>
      <c r="L135" s="10"/>
    </row>
    <row r="136">
      <c r="A136" s="7" t="s">
        <v>773</v>
      </c>
      <c r="B136" s="9" t="s">
        <v>774</v>
      </c>
      <c r="C136" s="8">
        <f>+12018713555</f>
        <v>12018713555</v>
      </c>
      <c r="D136" s="7">
        <v>4.9</v>
      </c>
      <c r="E136" s="7">
        <v>173.0</v>
      </c>
      <c r="F136" s="9" t="s">
        <v>775</v>
      </c>
      <c r="G136" s="7" t="s">
        <v>143</v>
      </c>
      <c r="H136" s="7" t="s">
        <v>776</v>
      </c>
      <c r="I136" s="7" t="s">
        <v>561</v>
      </c>
      <c r="J136" s="7" t="s">
        <v>777</v>
      </c>
      <c r="K136" s="10"/>
      <c r="L136" s="10"/>
    </row>
    <row r="137">
      <c r="A137" s="7" t="s">
        <v>778</v>
      </c>
      <c r="B137" s="9" t="s">
        <v>779</v>
      </c>
      <c r="C137" s="8">
        <f>+12019440550</f>
        <v>12019440550</v>
      </c>
      <c r="D137" s="7">
        <v>4.2</v>
      </c>
      <c r="E137" s="7">
        <v>16.0</v>
      </c>
      <c r="F137" s="9" t="s">
        <v>780</v>
      </c>
      <c r="G137" s="7" t="s">
        <v>143</v>
      </c>
      <c r="H137" s="7" t="s">
        <v>781</v>
      </c>
      <c r="I137" s="7" t="s">
        <v>87</v>
      </c>
      <c r="J137" s="7" t="s">
        <v>782</v>
      </c>
      <c r="K137" s="10"/>
      <c r="L137" s="10"/>
    </row>
    <row r="138">
      <c r="A138" s="7" t="s">
        <v>783</v>
      </c>
      <c r="B138" s="9" t="s">
        <v>784</v>
      </c>
      <c r="C138" s="8">
        <f>+12019418877</f>
        <v>12019418877</v>
      </c>
      <c r="D138" s="7">
        <v>4.6</v>
      </c>
      <c r="E138" s="7">
        <v>95.0</v>
      </c>
      <c r="F138" s="9" t="s">
        <v>785</v>
      </c>
      <c r="G138" s="7" t="s">
        <v>786</v>
      </c>
      <c r="H138" s="7" t="s">
        <v>787</v>
      </c>
      <c r="I138" s="7" t="s">
        <v>120</v>
      </c>
      <c r="J138" s="7" t="s">
        <v>788</v>
      </c>
      <c r="K138" s="10"/>
      <c r="L138" s="10"/>
    </row>
    <row r="139">
      <c r="A139" s="7" t="s">
        <v>789</v>
      </c>
      <c r="B139" s="9" t="s">
        <v>790</v>
      </c>
      <c r="C139" s="8">
        <f>+12012244400</f>
        <v>12012244400</v>
      </c>
      <c r="D139" s="7">
        <v>4.8</v>
      </c>
      <c r="E139" s="7">
        <v>75.0</v>
      </c>
      <c r="F139" s="9" t="s">
        <v>791</v>
      </c>
      <c r="G139" s="7" t="s">
        <v>732</v>
      </c>
      <c r="H139" s="7" t="s">
        <v>792</v>
      </c>
      <c r="I139" s="7" t="s">
        <v>131</v>
      </c>
      <c r="J139" s="7" t="s">
        <v>793</v>
      </c>
      <c r="K139" s="10"/>
      <c r="L139" s="10"/>
    </row>
    <row r="140">
      <c r="A140" s="7" t="s">
        <v>794</v>
      </c>
      <c r="B140" s="9" t="s">
        <v>795</v>
      </c>
      <c r="C140" s="8">
        <f>+12014899777</f>
        <v>12014899777</v>
      </c>
      <c r="D140" s="7">
        <v>4.8</v>
      </c>
      <c r="E140" s="7">
        <v>134.0</v>
      </c>
      <c r="F140" s="9" t="s">
        <v>796</v>
      </c>
      <c r="G140" s="7" t="s">
        <v>143</v>
      </c>
      <c r="H140" s="7" t="s">
        <v>797</v>
      </c>
      <c r="I140" s="7" t="s">
        <v>28</v>
      </c>
      <c r="J140" s="7" t="s">
        <v>798</v>
      </c>
      <c r="K140" s="10"/>
      <c r="L140" s="10"/>
    </row>
    <row r="141">
      <c r="A141" s="7" t="s">
        <v>799</v>
      </c>
      <c r="B141" s="9" t="s">
        <v>800</v>
      </c>
      <c r="C141" s="8">
        <f>+12018336847</f>
        <v>12018336847</v>
      </c>
      <c r="D141" s="7">
        <v>5.0</v>
      </c>
      <c r="E141" s="7">
        <v>770.0</v>
      </c>
      <c r="F141" s="9" t="s">
        <v>801</v>
      </c>
      <c r="G141" s="7" t="s">
        <v>143</v>
      </c>
      <c r="H141" s="7" t="s">
        <v>802</v>
      </c>
      <c r="I141" s="7" t="s">
        <v>32</v>
      </c>
      <c r="J141" s="7" t="s">
        <v>803</v>
      </c>
      <c r="K141" s="10"/>
      <c r="L141" s="10"/>
    </row>
    <row r="142">
      <c r="A142" s="7" t="s">
        <v>804</v>
      </c>
      <c r="B142" s="9" t="s">
        <v>805</v>
      </c>
      <c r="C142" s="8">
        <f>+12015467435</f>
        <v>12015467435</v>
      </c>
      <c r="D142" s="7">
        <v>4.8</v>
      </c>
      <c r="E142" s="7">
        <v>773.0</v>
      </c>
      <c r="F142" s="9" t="s">
        <v>806</v>
      </c>
      <c r="G142" s="7" t="s">
        <v>143</v>
      </c>
      <c r="H142" s="7" t="s">
        <v>807</v>
      </c>
      <c r="I142" s="7" t="s">
        <v>28</v>
      </c>
      <c r="J142" s="7" t="s">
        <v>808</v>
      </c>
      <c r="K142" s="10"/>
      <c r="L142" s="10"/>
    </row>
    <row r="143">
      <c r="A143" s="7" t="s">
        <v>809</v>
      </c>
      <c r="B143" s="9" t="s">
        <v>810</v>
      </c>
      <c r="C143" s="8">
        <f>+12019436644</f>
        <v>12019436644</v>
      </c>
      <c r="D143" s="7">
        <v>4.9</v>
      </c>
      <c r="E143" s="7">
        <v>611.0</v>
      </c>
      <c r="F143" s="9" t="s">
        <v>811</v>
      </c>
      <c r="G143" s="7" t="s">
        <v>143</v>
      </c>
      <c r="H143" s="7" t="s">
        <v>812</v>
      </c>
      <c r="I143" s="7" t="s">
        <v>813</v>
      </c>
      <c r="J143" s="7" t="s">
        <v>814</v>
      </c>
      <c r="K143" s="10"/>
      <c r="L143" s="10"/>
    </row>
    <row r="144">
      <c r="A144" s="7" t="s">
        <v>815</v>
      </c>
      <c r="B144" s="9" t="s">
        <v>816</v>
      </c>
      <c r="C144" s="8">
        <f>+12014874008</f>
        <v>12014874008</v>
      </c>
      <c r="D144" s="7">
        <v>4.8</v>
      </c>
      <c r="E144" s="7">
        <v>18.0</v>
      </c>
      <c r="F144" s="9" t="s">
        <v>817</v>
      </c>
      <c r="G144" s="7" t="s">
        <v>143</v>
      </c>
      <c r="H144" s="7" t="s">
        <v>818</v>
      </c>
      <c r="I144" s="7" t="s">
        <v>28</v>
      </c>
      <c r="J144" s="7" t="s">
        <v>819</v>
      </c>
      <c r="K144" s="10"/>
      <c r="L144" s="10"/>
    </row>
    <row r="145">
      <c r="A145" s="7" t="s">
        <v>820</v>
      </c>
      <c r="B145" s="9" t="s">
        <v>821</v>
      </c>
      <c r="C145" s="8">
        <f>+12019177977</f>
        <v>12019177977</v>
      </c>
      <c r="D145" s="7">
        <v>4.9</v>
      </c>
      <c r="E145" s="7">
        <v>195.0</v>
      </c>
      <c r="F145" s="9" t="s">
        <v>822</v>
      </c>
      <c r="G145" s="7" t="s">
        <v>143</v>
      </c>
      <c r="H145" s="7" t="s">
        <v>823</v>
      </c>
      <c r="I145" s="7" t="s">
        <v>120</v>
      </c>
      <c r="J145" s="7" t="s">
        <v>824</v>
      </c>
      <c r="K145" s="10"/>
      <c r="L145" s="10"/>
    </row>
    <row r="146">
      <c r="A146" s="7" t="s">
        <v>825</v>
      </c>
      <c r="B146" s="9" t="s">
        <v>826</v>
      </c>
      <c r="C146" s="8">
        <f>+12015785923</f>
        <v>12015785923</v>
      </c>
      <c r="D146" s="7">
        <v>5.0</v>
      </c>
      <c r="E146" s="7">
        <v>510.0</v>
      </c>
      <c r="F146" s="9" t="s">
        <v>827</v>
      </c>
      <c r="G146" s="7" t="s">
        <v>143</v>
      </c>
      <c r="H146" s="7" t="s">
        <v>828</v>
      </c>
      <c r="I146" s="7" t="s">
        <v>28</v>
      </c>
      <c r="J146" s="7" t="s">
        <v>829</v>
      </c>
      <c r="K146" s="10"/>
      <c r="L146" s="10"/>
    </row>
    <row r="147">
      <c r="A147" s="12" t="s">
        <v>830</v>
      </c>
      <c r="B147" s="9" t="s">
        <v>831</v>
      </c>
      <c r="C147" s="8">
        <f>+12014820203</f>
        <v>12014820203</v>
      </c>
      <c r="D147" s="7">
        <v>4.9</v>
      </c>
      <c r="E147" s="7">
        <v>41.0</v>
      </c>
      <c r="F147" s="9" t="s">
        <v>832</v>
      </c>
      <c r="G147" s="7" t="s">
        <v>143</v>
      </c>
      <c r="H147" s="7" t="s">
        <v>833</v>
      </c>
      <c r="I147" s="7" t="s">
        <v>87</v>
      </c>
      <c r="J147" s="7" t="s">
        <v>834</v>
      </c>
      <c r="K147" s="10"/>
      <c r="L147" s="10"/>
    </row>
    <row r="148">
      <c r="A148" s="7" t="s">
        <v>835</v>
      </c>
      <c r="B148" s="9" t="s">
        <v>836</v>
      </c>
      <c r="C148" s="8">
        <f>+12015851669</f>
        <v>12015851669</v>
      </c>
      <c r="D148" s="7">
        <v>4.6</v>
      </c>
      <c r="E148" s="7">
        <v>115.0</v>
      </c>
      <c r="F148" s="9" t="s">
        <v>837</v>
      </c>
      <c r="G148" s="7" t="s">
        <v>143</v>
      </c>
      <c r="H148" s="7" t="s">
        <v>838</v>
      </c>
      <c r="I148" s="7" t="s">
        <v>131</v>
      </c>
      <c r="J148" s="7" t="s">
        <v>839</v>
      </c>
      <c r="K148" s="10"/>
      <c r="L148" s="10"/>
    </row>
    <row r="149">
      <c r="A149" s="7" t="s">
        <v>840</v>
      </c>
      <c r="B149" s="9" t="s">
        <v>841</v>
      </c>
      <c r="C149" s="8">
        <f>+12018203600</f>
        <v>12018203600</v>
      </c>
      <c r="D149" s="7">
        <v>4.9</v>
      </c>
      <c r="E149" s="7">
        <v>74.0</v>
      </c>
      <c r="F149" s="9" t="s">
        <v>842</v>
      </c>
      <c r="G149" s="7" t="s">
        <v>143</v>
      </c>
      <c r="H149" s="7" t="s">
        <v>843</v>
      </c>
      <c r="I149" s="7" t="s">
        <v>28</v>
      </c>
      <c r="J149" s="7" t="s">
        <v>844</v>
      </c>
      <c r="K149" s="10"/>
      <c r="L149" s="10"/>
    </row>
    <row r="150">
      <c r="A150" s="7" t="s">
        <v>845</v>
      </c>
      <c r="B150" s="9" t="s">
        <v>846</v>
      </c>
      <c r="C150" s="8">
        <f>+12019414777</f>
        <v>12019414777</v>
      </c>
      <c r="D150" s="7">
        <v>4.9</v>
      </c>
      <c r="E150" s="7">
        <v>159.0</v>
      </c>
      <c r="F150" s="9" t="s">
        <v>847</v>
      </c>
      <c r="G150" s="7" t="s">
        <v>848</v>
      </c>
      <c r="H150" s="7" t="s">
        <v>849</v>
      </c>
      <c r="I150" s="7" t="s">
        <v>41</v>
      </c>
      <c r="J150" s="7" t="s">
        <v>850</v>
      </c>
      <c r="K150" s="10"/>
      <c r="L150" s="10"/>
    </row>
    <row r="151">
      <c r="A151" s="7" t="s">
        <v>851</v>
      </c>
      <c r="B151" s="9" t="s">
        <v>852</v>
      </c>
      <c r="C151" s="8">
        <f>+12013434483</f>
        <v>12013434483</v>
      </c>
      <c r="D151" s="7">
        <v>4.7</v>
      </c>
      <c r="E151" s="7">
        <v>54.0</v>
      </c>
      <c r="F151" s="9" t="s">
        <v>853</v>
      </c>
      <c r="G151" s="7" t="s">
        <v>143</v>
      </c>
      <c r="H151" s="7" t="s">
        <v>854</v>
      </c>
      <c r="I151" s="7" t="s">
        <v>28</v>
      </c>
      <c r="J151" s="7" t="s">
        <v>855</v>
      </c>
      <c r="K151" s="10"/>
      <c r="L151" s="10"/>
    </row>
    <row r="152">
      <c r="A152" s="7" t="s">
        <v>856</v>
      </c>
      <c r="B152" s="9" t="s">
        <v>857</v>
      </c>
      <c r="C152" s="8">
        <f>+12013130321</f>
        <v>12013130321</v>
      </c>
      <c r="D152" s="7">
        <v>5.0</v>
      </c>
      <c r="E152" s="7">
        <v>8.0</v>
      </c>
      <c r="F152" s="9" t="s">
        <v>858</v>
      </c>
      <c r="G152" s="7" t="s">
        <v>164</v>
      </c>
      <c r="H152" s="7" t="s">
        <v>859</v>
      </c>
      <c r="I152" s="7" t="s">
        <v>41</v>
      </c>
      <c r="J152" s="7" t="s">
        <v>860</v>
      </c>
      <c r="K152" s="10"/>
      <c r="L152" s="10"/>
    </row>
    <row r="153">
      <c r="A153" s="7" t="s">
        <v>162</v>
      </c>
      <c r="B153" s="10"/>
      <c r="C153" s="8">
        <f>+12019446500</f>
        <v>12019446500</v>
      </c>
      <c r="D153" s="7">
        <v>5.0</v>
      </c>
      <c r="E153" s="7">
        <v>4.0</v>
      </c>
      <c r="F153" s="9" t="s">
        <v>163</v>
      </c>
      <c r="G153" s="7" t="s">
        <v>164</v>
      </c>
      <c r="H153" s="7" t="s">
        <v>165</v>
      </c>
      <c r="I153" s="7" t="s">
        <v>98</v>
      </c>
      <c r="J153" s="7" t="s">
        <v>166</v>
      </c>
      <c r="K153" s="10"/>
      <c r="L153" s="10"/>
    </row>
    <row r="154">
      <c r="A154" s="7" t="s">
        <v>861</v>
      </c>
      <c r="B154" s="9" t="s">
        <v>862</v>
      </c>
      <c r="C154" s="8">
        <f>+12019418008</f>
        <v>12019418008</v>
      </c>
      <c r="D154" s="7">
        <v>5.0</v>
      </c>
      <c r="E154" s="7">
        <v>160.0</v>
      </c>
      <c r="F154" s="9" t="s">
        <v>863</v>
      </c>
      <c r="G154" s="7" t="s">
        <v>164</v>
      </c>
      <c r="H154" s="7" t="s">
        <v>864</v>
      </c>
      <c r="I154" s="7" t="s">
        <v>120</v>
      </c>
      <c r="J154" s="7" t="s">
        <v>865</v>
      </c>
      <c r="K154" s="10"/>
      <c r="L154" s="10"/>
    </row>
    <row r="155">
      <c r="A155" s="7" t="s">
        <v>167</v>
      </c>
      <c r="B155" s="10"/>
      <c r="C155" s="8">
        <f>+12016411600</f>
        <v>12016411600</v>
      </c>
      <c r="D155" s="7">
        <v>4.8</v>
      </c>
      <c r="E155" s="7">
        <v>20.0</v>
      </c>
      <c r="F155" s="9" t="s">
        <v>168</v>
      </c>
      <c r="G155" s="7" t="s">
        <v>164</v>
      </c>
      <c r="H155" s="7" t="s">
        <v>169</v>
      </c>
      <c r="I155" s="7" t="s">
        <v>44</v>
      </c>
      <c r="J155" s="7" t="s">
        <v>170</v>
      </c>
      <c r="K155" s="10"/>
      <c r="L155" s="10"/>
    </row>
    <row r="156">
      <c r="A156" s="7" t="s">
        <v>866</v>
      </c>
      <c r="B156" s="9" t="s">
        <v>867</v>
      </c>
      <c r="C156" s="8">
        <f>+12014878771</f>
        <v>12014878771</v>
      </c>
      <c r="D156" s="7">
        <v>5.0</v>
      </c>
      <c r="E156" s="7">
        <v>1.0</v>
      </c>
      <c r="F156" s="9" t="s">
        <v>868</v>
      </c>
      <c r="G156" s="7" t="s">
        <v>164</v>
      </c>
      <c r="H156" s="7" t="s">
        <v>869</v>
      </c>
      <c r="I156" s="7" t="s">
        <v>51</v>
      </c>
      <c r="J156" s="7" t="s">
        <v>37</v>
      </c>
      <c r="K156" s="10"/>
      <c r="L156" s="10"/>
    </row>
    <row r="157">
      <c r="A157" s="7" t="s">
        <v>870</v>
      </c>
      <c r="B157" s="9" t="s">
        <v>382</v>
      </c>
      <c r="C157" s="8">
        <f>+12014893400</f>
        <v>12014893400</v>
      </c>
      <c r="D157" s="7">
        <v>4.9</v>
      </c>
      <c r="E157" s="7">
        <v>79.0</v>
      </c>
      <c r="F157" s="9" t="s">
        <v>871</v>
      </c>
      <c r="G157" s="7" t="s">
        <v>164</v>
      </c>
      <c r="H157" s="7" t="s">
        <v>872</v>
      </c>
      <c r="I157" s="7" t="s">
        <v>28</v>
      </c>
      <c r="J157" s="7" t="s">
        <v>873</v>
      </c>
      <c r="K157" s="10"/>
      <c r="L157" s="10"/>
    </row>
    <row r="158">
      <c r="A158" s="7" t="s">
        <v>874</v>
      </c>
      <c r="B158" s="9" t="s">
        <v>875</v>
      </c>
      <c r="C158" s="8">
        <f>+12013576539</f>
        <v>12013576539</v>
      </c>
      <c r="D158" s="7">
        <v>4.7</v>
      </c>
      <c r="E158" s="7">
        <v>29.0</v>
      </c>
      <c r="F158" s="9" t="s">
        <v>876</v>
      </c>
      <c r="G158" s="7" t="s">
        <v>164</v>
      </c>
      <c r="H158" s="7" t="s">
        <v>877</v>
      </c>
      <c r="I158" s="7" t="s">
        <v>120</v>
      </c>
      <c r="J158" s="7" t="s">
        <v>878</v>
      </c>
      <c r="K158" s="10"/>
      <c r="L158" s="10"/>
    </row>
    <row r="159">
      <c r="A159" s="7" t="s">
        <v>879</v>
      </c>
      <c r="B159" s="9" t="s">
        <v>880</v>
      </c>
      <c r="C159" s="8">
        <f>+12019075092</f>
        <v>12019075092</v>
      </c>
      <c r="D159" s="7">
        <v>5.0</v>
      </c>
      <c r="E159" s="7">
        <v>29.0</v>
      </c>
      <c r="F159" s="9" t="s">
        <v>881</v>
      </c>
      <c r="G159" s="7" t="s">
        <v>164</v>
      </c>
      <c r="H159" s="7" t="s">
        <v>882</v>
      </c>
      <c r="I159" s="7" t="s">
        <v>32</v>
      </c>
      <c r="J159" s="7" t="s">
        <v>883</v>
      </c>
      <c r="K159" s="10"/>
      <c r="L159" s="10"/>
    </row>
    <row r="160">
      <c r="A160" s="7" t="s">
        <v>171</v>
      </c>
      <c r="B160" s="10"/>
      <c r="C160" s="8">
        <f t="shared" ref="C160:C161" si="2">+12019445999</f>
        <v>12019445999</v>
      </c>
      <c r="D160" s="7">
        <v>5.0</v>
      </c>
      <c r="E160" s="7">
        <v>1.0</v>
      </c>
      <c r="F160" s="9" t="s">
        <v>172</v>
      </c>
      <c r="G160" s="7" t="s">
        <v>164</v>
      </c>
      <c r="H160" s="7" t="s">
        <v>173</v>
      </c>
      <c r="I160" s="7" t="s">
        <v>87</v>
      </c>
      <c r="J160" s="7" t="s">
        <v>37</v>
      </c>
      <c r="K160" s="10"/>
      <c r="L160" s="10"/>
    </row>
    <row r="161">
      <c r="A161" s="7" t="s">
        <v>174</v>
      </c>
      <c r="B161" s="10"/>
      <c r="C161" s="8">
        <f t="shared" si="2"/>
        <v>12019445999</v>
      </c>
      <c r="D161" s="7">
        <v>4.7</v>
      </c>
      <c r="E161" s="7">
        <v>23.0</v>
      </c>
      <c r="F161" s="9" t="s">
        <v>175</v>
      </c>
      <c r="G161" s="7" t="s">
        <v>164</v>
      </c>
      <c r="H161" s="7" t="s">
        <v>173</v>
      </c>
      <c r="I161" s="7" t="s">
        <v>87</v>
      </c>
      <c r="J161" s="7" t="s">
        <v>37</v>
      </c>
      <c r="K161" s="10"/>
      <c r="L161" s="10"/>
    </row>
    <row r="162">
      <c r="A162" s="7" t="s">
        <v>884</v>
      </c>
      <c r="B162" s="9" t="s">
        <v>885</v>
      </c>
      <c r="C162" s="8">
        <f>+12014885366</f>
        <v>12014885366</v>
      </c>
      <c r="D162" s="7">
        <v>5.0</v>
      </c>
      <c r="E162" s="7">
        <v>710.0</v>
      </c>
      <c r="F162" s="9" t="s">
        <v>886</v>
      </c>
      <c r="G162" s="7" t="s">
        <v>164</v>
      </c>
      <c r="H162" s="7" t="s">
        <v>887</v>
      </c>
      <c r="I162" s="7" t="s">
        <v>28</v>
      </c>
      <c r="J162" s="7" t="s">
        <v>888</v>
      </c>
      <c r="K162" s="10"/>
      <c r="L162" s="10"/>
    </row>
    <row r="163">
      <c r="A163" s="7" t="s">
        <v>889</v>
      </c>
      <c r="B163" s="9" t="s">
        <v>890</v>
      </c>
      <c r="C163" s="8">
        <f>+12014878771</f>
        <v>12014878771</v>
      </c>
      <c r="D163" s="7">
        <v>4.8</v>
      </c>
      <c r="E163" s="7">
        <v>6.0</v>
      </c>
      <c r="F163" s="9" t="s">
        <v>891</v>
      </c>
      <c r="G163" s="7" t="s">
        <v>164</v>
      </c>
      <c r="H163" s="7" t="s">
        <v>869</v>
      </c>
      <c r="I163" s="7" t="s">
        <v>51</v>
      </c>
      <c r="J163" s="7" t="s">
        <v>37</v>
      </c>
      <c r="K163" s="10"/>
      <c r="L163" s="10"/>
    </row>
    <row r="164">
      <c r="A164" s="7" t="s">
        <v>892</v>
      </c>
      <c r="B164" s="9" t="s">
        <v>893</v>
      </c>
      <c r="C164" s="8">
        <f>+12015855045</f>
        <v>12015855045</v>
      </c>
      <c r="D164" s="7">
        <v>4.9</v>
      </c>
      <c r="E164" s="7">
        <v>42.0</v>
      </c>
      <c r="F164" s="9" t="s">
        <v>894</v>
      </c>
      <c r="G164" s="7" t="s">
        <v>164</v>
      </c>
      <c r="H164" s="7" t="s">
        <v>895</v>
      </c>
      <c r="I164" s="7" t="s">
        <v>131</v>
      </c>
      <c r="J164" s="7" t="s">
        <v>896</v>
      </c>
      <c r="K164" s="10"/>
      <c r="L164" s="10"/>
    </row>
    <row r="165">
      <c r="A165" s="7" t="s">
        <v>897</v>
      </c>
      <c r="B165" s="9" t="s">
        <v>898</v>
      </c>
      <c r="C165" s="8">
        <f>+12018201441</f>
        <v>12018201441</v>
      </c>
      <c r="D165" s="7">
        <v>4.9</v>
      </c>
      <c r="E165" s="7">
        <v>128.0</v>
      </c>
      <c r="F165" s="9" t="s">
        <v>899</v>
      </c>
      <c r="G165" s="7" t="s">
        <v>164</v>
      </c>
      <c r="H165" s="7" t="s">
        <v>900</v>
      </c>
      <c r="I165" s="7" t="s">
        <v>901</v>
      </c>
      <c r="J165" s="7" t="s">
        <v>902</v>
      </c>
      <c r="K165" s="10"/>
      <c r="L165" s="10"/>
    </row>
    <row r="166">
      <c r="A166" s="7" t="s">
        <v>903</v>
      </c>
      <c r="B166" s="9" t="s">
        <v>904</v>
      </c>
      <c r="C166" s="8">
        <f>+12019410993</f>
        <v>12019410993</v>
      </c>
      <c r="D166" s="7">
        <v>4.8</v>
      </c>
      <c r="E166" s="7">
        <v>24.0</v>
      </c>
      <c r="F166" s="9" t="s">
        <v>905</v>
      </c>
      <c r="G166" s="7" t="s">
        <v>164</v>
      </c>
      <c r="H166" s="7" t="s">
        <v>906</v>
      </c>
      <c r="I166" s="7" t="s">
        <v>87</v>
      </c>
      <c r="J166" s="7" t="s">
        <v>907</v>
      </c>
      <c r="K166" s="10"/>
      <c r="L166" s="10"/>
    </row>
    <row r="167">
      <c r="A167" s="7" t="s">
        <v>375</v>
      </c>
      <c r="B167" s="9" t="s">
        <v>376</v>
      </c>
      <c r="C167" s="8">
        <f>+12018612025</f>
        <v>12018612025</v>
      </c>
      <c r="D167" s="7">
        <v>5.0</v>
      </c>
      <c r="E167" s="7">
        <v>741.0</v>
      </c>
      <c r="F167" s="9" t="s">
        <v>377</v>
      </c>
      <c r="G167" s="7" t="s">
        <v>164</v>
      </c>
      <c r="H167" s="7" t="s">
        <v>378</v>
      </c>
      <c r="I167" s="7" t="s">
        <v>379</v>
      </c>
      <c r="J167" s="7" t="s">
        <v>380</v>
      </c>
      <c r="K167" s="10"/>
      <c r="L167" s="10"/>
    </row>
    <row r="168">
      <c r="A168" s="7" t="s">
        <v>908</v>
      </c>
      <c r="B168" s="9" t="s">
        <v>909</v>
      </c>
      <c r="C168" s="8">
        <f>+12015920800</f>
        <v>12015920800</v>
      </c>
      <c r="D168" s="7">
        <v>4.9</v>
      </c>
      <c r="E168" s="7">
        <v>209.0</v>
      </c>
      <c r="F168" s="9" t="s">
        <v>910</v>
      </c>
      <c r="G168" s="7" t="s">
        <v>164</v>
      </c>
      <c r="H168" s="7" t="s">
        <v>911</v>
      </c>
      <c r="I168" s="7" t="s">
        <v>131</v>
      </c>
      <c r="J168" s="7" t="s">
        <v>912</v>
      </c>
      <c r="K168" s="10"/>
      <c r="L168" s="10"/>
    </row>
    <row r="169">
      <c r="A169" s="7" t="s">
        <v>913</v>
      </c>
      <c r="B169" s="9" t="s">
        <v>914</v>
      </c>
      <c r="C169" s="8">
        <f>+12013421199</f>
        <v>12013421199</v>
      </c>
      <c r="D169" s="7">
        <v>5.0</v>
      </c>
      <c r="E169" s="7">
        <v>25.0</v>
      </c>
      <c r="F169" s="9" t="s">
        <v>915</v>
      </c>
      <c r="G169" s="7" t="s">
        <v>164</v>
      </c>
      <c r="H169" s="7" t="s">
        <v>916</v>
      </c>
      <c r="I169" s="7" t="s">
        <v>51</v>
      </c>
      <c r="J169" s="7" t="s">
        <v>917</v>
      </c>
      <c r="K169" s="10"/>
      <c r="L169" s="10"/>
    </row>
    <row r="170">
      <c r="A170" s="7" t="s">
        <v>176</v>
      </c>
      <c r="B170" s="10"/>
      <c r="C170" s="8">
        <f>+12019453660</f>
        <v>12019453660</v>
      </c>
      <c r="D170" s="10"/>
      <c r="E170" s="7">
        <v>0.0</v>
      </c>
      <c r="F170" s="9" t="s">
        <v>177</v>
      </c>
      <c r="G170" s="7" t="s">
        <v>164</v>
      </c>
      <c r="H170" s="7" t="s">
        <v>178</v>
      </c>
      <c r="I170" s="7" t="s">
        <v>41</v>
      </c>
      <c r="J170" s="7" t="s">
        <v>37</v>
      </c>
      <c r="K170" s="10"/>
      <c r="L170" s="10"/>
    </row>
    <row r="171">
      <c r="A171" s="7" t="s">
        <v>381</v>
      </c>
      <c r="B171" s="9" t="s">
        <v>382</v>
      </c>
      <c r="C171" s="8">
        <f>+12014893400</f>
        <v>12014893400</v>
      </c>
      <c r="D171" s="7">
        <v>5.0</v>
      </c>
      <c r="E171" s="7">
        <v>27.0</v>
      </c>
      <c r="F171" s="9" t="s">
        <v>383</v>
      </c>
      <c r="G171" s="7" t="s">
        <v>164</v>
      </c>
      <c r="H171" s="7" t="s">
        <v>384</v>
      </c>
      <c r="I171" s="7" t="s">
        <v>28</v>
      </c>
      <c r="J171" s="7" t="s">
        <v>385</v>
      </c>
      <c r="K171" s="10"/>
      <c r="L171" s="10"/>
    </row>
    <row r="172">
      <c r="A172" s="7" t="s">
        <v>918</v>
      </c>
      <c r="B172" s="9" t="s">
        <v>919</v>
      </c>
      <c r="C172" s="8">
        <f>+12018539652</f>
        <v>12018539652</v>
      </c>
      <c r="D172" s="7">
        <v>5.0</v>
      </c>
      <c r="E172" s="7">
        <v>3.0</v>
      </c>
      <c r="F172" s="9" t="s">
        <v>920</v>
      </c>
      <c r="G172" s="7" t="s">
        <v>164</v>
      </c>
      <c r="H172" s="7" t="s">
        <v>921</v>
      </c>
      <c r="I172" s="7" t="s">
        <v>79</v>
      </c>
      <c r="J172" s="7" t="s">
        <v>922</v>
      </c>
      <c r="K172" s="10"/>
      <c r="L172" s="10"/>
    </row>
    <row r="173">
      <c r="A173" s="7" t="s">
        <v>923</v>
      </c>
      <c r="B173" s="9" t="s">
        <v>924</v>
      </c>
      <c r="C173" s="8">
        <f>+12019333040</f>
        <v>12019333040</v>
      </c>
      <c r="D173" s="7">
        <v>4.9</v>
      </c>
      <c r="E173" s="7">
        <v>352.0</v>
      </c>
      <c r="F173" s="9" t="s">
        <v>925</v>
      </c>
      <c r="G173" s="7" t="s">
        <v>164</v>
      </c>
      <c r="H173" s="7" t="s">
        <v>926</v>
      </c>
      <c r="I173" s="7" t="s">
        <v>668</v>
      </c>
      <c r="J173" s="7" t="s">
        <v>927</v>
      </c>
      <c r="K173" s="10"/>
      <c r="L173" s="10"/>
    </row>
    <row r="174">
      <c r="A174" s="7" t="s">
        <v>928</v>
      </c>
      <c r="B174" s="9" t="s">
        <v>929</v>
      </c>
      <c r="C174" s="10"/>
      <c r="D174" s="7">
        <v>5.0</v>
      </c>
      <c r="E174" s="7">
        <v>11.0</v>
      </c>
      <c r="F174" s="9" t="s">
        <v>930</v>
      </c>
      <c r="G174" s="7" t="s">
        <v>164</v>
      </c>
      <c r="H174" s="7" t="s">
        <v>931</v>
      </c>
      <c r="I174" s="7" t="s">
        <v>28</v>
      </c>
      <c r="J174" s="7" t="s">
        <v>37</v>
      </c>
      <c r="K174" s="10"/>
      <c r="L174" s="10"/>
    </row>
    <row r="175">
      <c r="A175" s="7" t="s">
        <v>179</v>
      </c>
      <c r="B175" s="10"/>
      <c r="C175" s="8">
        <f>+12015306872</f>
        <v>12015306872</v>
      </c>
      <c r="D175" s="7">
        <v>5.0</v>
      </c>
      <c r="E175" s="7">
        <v>7.0</v>
      </c>
      <c r="F175" s="9" t="s">
        <v>180</v>
      </c>
      <c r="G175" s="7" t="s">
        <v>164</v>
      </c>
      <c r="H175" s="7" t="s">
        <v>181</v>
      </c>
      <c r="I175" s="7" t="s">
        <v>32</v>
      </c>
      <c r="J175" s="7" t="s">
        <v>182</v>
      </c>
      <c r="K175" s="10"/>
      <c r="L175" s="10"/>
    </row>
    <row r="176">
      <c r="A176" s="7" t="s">
        <v>183</v>
      </c>
      <c r="B176" s="10"/>
      <c r="C176" s="8">
        <f>+12019446500</f>
        <v>12019446500</v>
      </c>
      <c r="D176" s="7">
        <v>5.0</v>
      </c>
      <c r="E176" s="7">
        <v>31.0</v>
      </c>
      <c r="F176" s="9" t="s">
        <v>184</v>
      </c>
      <c r="G176" s="7" t="s">
        <v>164</v>
      </c>
      <c r="H176" s="7" t="s">
        <v>185</v>
      </c>
      <c r="I176" s="7" t="s">
        <v>98</v>
      </c>
      <c r="J176" s="7" t="s">
        <v>186</v>
      </c>
      <c r="K176" s="10"/>
      <c r="L176" s="10"/>
    </row>
    <row r="177">
      <c r="A177" s="7" t="s">
        <v>932</v>
      </c>
      <c r="B177" s="9" t="s">
        <v>933</v>
      </c>
      <c r="C177" s="8">
        <f>+12018369558</f>
        <v>12018369558</v>
      </c>
      <c r="D177" s="7">
        <v>5.0</v>
      </c>
      <c r="E177" s="7">
        <v>228.0</v>
      </c>
      <c r="F177" s="9" t="s">
        <v>934</v>
      </c>
      <c r="G177" s="7" t="s">
        <v>164</v>
      </c>
      <c r="H177" s="7" t="s">
        <v>935</v>
      </c>
      <c r="I177" s="7" t="s">
        <v>32</v>
      </c>
      <c r="J177" s="7" t="s">
        <v>936</v>
      </c>
      <c r="K177" s="10"/>
      <c r="L177" s="10"/>
    </row>
    <row r="178">
      <c r="A178" s="7" t="s">
        <v>937</v>
      </c>
      <c r="B178" s="9" t="s">
        <v>938</v>
      </c>
      <c r="C178" s="8">
        <f>+12127651333</f>
        <v>12127651333</v>
      </c>
      <c r="D178" s="7">
        <v>5.0</v>
      </c>
      <c r="E178" s="7">
        <v>27.0</v>
      </c>
      <c r="F178" s="9" t="s">
        <v>939</v>
      </c>
      <c r="G178" s="7" t="s">
        <v>164</v>
      </c>
      <c r="H178" s="7" t="s">
        <v>940</v>
      </c>
      <c r="I178" s="7" t="s">
        <v>98</v>
      </c>
      <c r="J178" s="7" t="s">
        <v>941</v>
      </c>
      <c r="K178" s="10"/>
      <c r="L178" s="10"/>
    </row>
    <row r="179">
      <c r="A179" s="7" t="s">
        <v>942</v>
      </c>
      <c r="B179" s="9" t="s">
        <v>943</v>
      </c>
      <c r="C179" s="8">
        <f>+12018960068</f>
        <v>12018960068</v>
      </c>
      <c r="D179" s="7">
        <v>5.0</v>
      </c>
      <c r="E179" s="7">
        <v>120.0</v>
      </c>
      <c r="F179" s="9" t="s">
        <v>944</v>
      </c>
      <c r="G179" s="7" t="s">
        <v>164</v>
      </c>
      <c r="H179" s="7" t="s">
        <v>945</v>
      </c>
      <c r="I179" s="7" t="s">
        <v>946</v>
      </c>
      <c r="J179" s="7" t="s">
        <v>947</v>
      </c>
      <c r="K179" s="10"/>
      <c r="L179" s="10"/>
    </row>
    <row r="180">
      <c r="A180" s="7" t="s">
        <v>948</v>
      </c>
      <c r="B180" s="9" t="s">
        <v>893</v>
      </c>
      <c r="C180" s="8">
        <f>+12015855045</f>
        <v>12015855045</v>
      </c>
      <c r="D180" s="7">
        <v>5.0</v>
      </c>
      <c r="E180" s="7">
        <v>8.0</v>
      </c>
      <c r="F180" s="9" t="s">
        <v>949</v>
      </c>
      <c r="G180" s="7" t="s">
        <v>164</v>
      </c>
      <c r="H180" s="7" t="s">
        <v>895</v>
      </c>
      <c r="I180" s="7" t="s">
        <v>131</v>
      </c>
      <c r="J180" s="7" t="s">
        <v>950</v>
      </c>
      <c r="K180" s="10"/>
      <c r="L180" s="10"/>
    </row>
    <row r="181">
      <c r="A181" s="7" t="s">
        <v>386</v>
      </c>
      <c r="B181" s="9" t="s">
        <v>387</v>
      </c>
      <c r="C181" s="8">
        <f>+12017491152</f>
        <v>12017491152</v>
      </c>
      <c r="D181" s="7">
        <v>5.0</v>
      </c>
      <c r="E181" s="7">
        <v>2.0</v>
      </c>
      <c r="F181" s="9" t="s">
        <v>388</v>
      </c>
      <c r="G181" s="7" t="s">
        <v>164</v>
      </c>
      <c r="H181" s="7" t="s">
        <v>181</v>
      </c>
      <c r="I181" s="7" t="s">
        <v>32</v>
      </c>
      <c r="J181" s="7" t="s">
        <v>37</v>
      </c>
      <c r="K181" s="10"/>
      <c r="L181" s="10"/>
    </row>
    <row r="182">
      <c r="A182" s="7" t="s">
        <v>951</v>
      </c>
      <c r="B182" s="9" t="s">
        <v>952</v>
      </c>
      <c r="C182" s="8">
        <f>+18008214989</f>
        <v>18008214989</v>
      </c>
      <c r="D182" s="7">
        <v>4.2</v>
      </c>
      <c r="E182" s="7">
        <v>5.0</v>
      </c>
      <c r="F182" s="9" t="s">
        <v>953</v>
      </c>
      <c r="G182" s="7" t="s">
        <v>189</v>
      </c>
      <c r="H182" s="7" t="s">
        <v>208</v>
      </c>
      <c r="I182" s="7" t="s">
        <v>41</v>
      </c>
      <c r="J182" s="7" t="s">
        <v>954</v>
      </c>
      <c r="K182" s="10"/>
      <c r="L182" s="10"/>
    </row>
    <row r="183">
      <c r="A183" s="7" t="s">
        <v>187</v>
      </c>
      <c r="B183" s="10"/>
      <c r="C183" s="8">
        <f>+12014614989</f>
        <v>12014614989</v>
      </c>
      <c r="D183" s="7">
        <v>4.3</v>
      </c>
      <c r="E183" s="7">
        <v>6.0</v>
      </c>
      <c r="F183" s="9" t="s">
        <v>188</v>
      </c>
      <c r="G183" s="7" t="s">
        <v>189</v>
      </c>
      <c r="H183" s="7" t="s">
        <v>190</v>
      </c>
      <c r="I183" s="7" t="s">
        <v>87</v>
      </c>
      <c r="J183" s="7" t="s">
        <v>191</v>
      </c>
      <c r="K183" s="10"/>
      <c r="L183" s="10"/>
    </row>
    <row r="184">
      <c r="A184" s="7" t="s">
        <v>955</v>
      </c>
      <c r="B184" s="9" t="s">
        <v>956</v>
      </c>
      <c r="C184" s="8">
        <f>+12019445353</f>
        <v>12019445353</v>
      </c>
      <c r="D184" s="7">
        <v>4.0</v>
      </c>
      <c r="E184" s="7">
        <v>22.0</v>
      </c>
      <c r="F184" s="9" t="s">
        <v>957</v>
      </c>
      <c r="G184" s="7" t="s">
        <v>189</v>
      </c>
      <c r="H184" s="7" t="s">
        <v>958</v>
      </c>
      <c r="I184" s="7" t="s">
        <v>87</v>
      </c>
      <c r="J184" s="7" t="s">
        <v>24</v>
      </c>
      <c r="K184" s="10"/>
      <c r="L184" s="10"/>
    </row>
    <row r="185">
      <c r="A185" s="7" t="s">
        <v>959</v>
      </c>
      <c r="B185" s="9" t="s">
        <v>960</v>
      </c>
      <c r="C185" s="8">
        <f>+12015684450</f>
        <v>12015684450</v>
      </c>
      <c r="D185" s="7">
        <v>4.3</v>
      </c>
      <c r="E185" s="7">
        <v>16.0</v>
      </c>
      <c r="F185" s="9" t="s">
        <v>961</v>
      </c>
      <c r="G185" s="7" t="s">
        <v>189</v>
      </c>
      <c r="H185" s="7" t="s">
        <v>962</v>
      </c>
      <c r="I185" s="7" t="s">
        <v>41</v>
      </c>
      <c r="J185" s="7" t="s">
        <v>121</v>
      </c>
      <c r="K185" s="10"/>
      <c r="L185" s="10"/>
    </row>
    <row r="186">
      <c r="A186" s="7" t="s">
        <v>963</v>
      </c>
      <c r="B186" s="9" t="s">
        <v>964</v>
      </c>
      <c r="C186" s="8">
        <f>+12019170122</f>
        <v>12019170122</v>
      </c>
      <c r="D186" s="7">
        <v>4.8</v>
      </c>
      <c r="E186" s="7">
        <v>21.0</v>
      </c>
      <c r="F186" s="9" t="s">
        <v>965</v>
      </c>
      <c r="G186" s="7" t="s">
        <v>189</v>
      </c>
      <c r="H186" s="7" t="s">
        <v>966</v>
      </c>
      <c r="I186" s="7" t="s">
        <v>120</v>
      </c>
      <c r="J186" s="7" t="s">
        <v>374</v>
      </c>
      <c r="K186" s="10"/>
      <c r="L186" s="10"/>
    </row>
    <row r="187">
      <c r="A187" s="7" t="s">
        <v>967</v>
      </c>
      <c r="B187" s="9" t="s">
        <v>968</v>
      </c>
      <c r="C187" s="8">
        <f>+12013131002</f>
        <v>12013131002</v>
      </c>
      <c r="D187" s="7">
        <v>5.0</v>
      </c>
      <c r="E187" s="7">
        <v>2.0</v>
      </c>
      <c r="F187" s="9" t="s">
        <v>969</v>
      </c>
      <c r="G187" s="7" t="s">
        <v>189</v>
      </c>
      <c r="H187" s="7" t="s">
        <v>197</v>
      </c>
      <c r="I187" s="7" t="s">
        <v>41</v>
      </c>
      <c r="J187" s="7" t="s">
        <v>970</v>
      </c>
      <c r="K187" s="10"/>
      <c r="L187" s="10"/>
    </row>
    <row r="188">
      <c r="A188" s="7" t="s">
        <v>971</v>
      </c>
      <c r="B188" s="9" t="s">
        <v>972</v>
      </c>
      <c r="C188" s="8">
        <f>+12017433088</f>
        <v>12017433088</v>
      </c>
      <c r="D188" s="7">
        <v>5.0</v>
      </c>
      <c r="E188" s="7">
        <v>4.0</v>
      </c>
      <c r="F188" s="9" t="s">
        <v>973</v>
      </c>
      <c r="G188" s="7" t="s">
        <v>189</v>
      </c>
      <c r="H188" s="7" t="s">
        <v>974</v>
      </c>
      <c r="I188" s="7" t="s">
        <v>120</v>
      </c>
      <c r="J188" s="7" t="s">
        <v>975</v>
      </c>
      <c r="K188" s="10"/>
      <c r="L188" s="10"/>
    </row>
    <row r="189">
      <c r="A189" s="7" t="s">
        <v>389</v>
      </c>
      <c r="B189" s="9" t="s">
        <v>390</v>
      </c>
      <c r="C189" s="8">
        <f>+12014610906</f>
        <v>12014610906</v>
      </c>
      <c r="D189" s="7">
        <v>5.0</v>
      </c>
      <c r="E189" s="7">
        <v>2.0</v>
      </c>
      <c r="F189" s="9" t="s">
        <v>391</v>
      </c>
      <c r="G189" s="7" t="s">
        <v>189</v>
      </c>
      <c r="H189" s="7" t="s">
        <v>392</v>
      </c>
      <c r="I189" s="7" t="s">
        <v>87</v>
      </c>
      <c r="J189" s="7" t="s">
        <v>136</v>
      </c>
      <c r="K189" s="10"/>
      <c r="L189" s="10"/>
    </row>
    <row r="190">
      <c r="A190" s="7" t="s">
        <v>976</v>
      </c>
      <c r="B190" s="9" t="s">
        <v>977</v>
      </c>
      <c r="C190" s="8">
        <f>+12018615504</f>
        <v>12018615504</v>
      </c>
      <c r="D190" s="7">
        <v>3.0</v>
      </c>
      <c r="E190" s="7">
        <v>2.0</v>
      </c>
      <c r="F190" s="9" t="s">
        <v>978</v>
      </c>
      <c r="G190" s="7" t="s">
        <v>189</v>
      </c>
      <c r="H190" s="7" t="s">
        <v>979</v>
      </c>
      <c r="I190" s="7" t="s">
        <v>41</v>
      </c>
      <c r="J190" s="7" t="s">
        <v>980</v>
      </c>
      <c r="K190" s="10"/>
      <c r="L190" s="10"/>
    </row>
    <row r="191">
      <c r="A191" s="7" t="s">
        <v>981</v>
      </c>
      <c r="B191" s="9" t="s">
        <v>982</v>
      </c>
      <c r="C191" s="8">
        <f>+12019444949</f>
        <v>12019444949</v>
      </c>
      <c r="D191" s="7">
        <v>5.0</v>
      </c>
      <c r="E191" s="7">
        <v>2.0</v>
      </c>
      <c r="F191" s="9" t="s">
        <v>983</v>
      </c>
      <c r="G191" s="7" t="s">
        <v>984</v>
      </c>
      <c r="H191" s="7" t="s">
        <v>985</v>
      </c>
      <c r="I191" s="7" t="s">
        <v>87</v>
      </c>
      <c r="J191" s="7" t="s">
        <v>24</v>
      </c>
      <c r="K191" s="10"/>
      <c r="L191" s="10"/>
    </row>
    <row r="192">
      <c r="A192" s="7" t="s">
        <v>986</v>
      </c>
      <c r="B192" s="9" t="s">
        <v>987</v>
      </c>
      <c r="C192" s="8">
        <f>+12019437700</f>
        <v>12019437700</v>
      </c>
      <c r="D192" s="7">
        <v>1.0</v>
      </c>
      <c r="E192" s="7">
        <v>5.0</v>
      </c>
      <c r="F192" s="9" t="s">
        <v>988</v>
      </c>
      <c r="G192" s="7" t="s">
        <v>189</v>
      </c>
      <c r="H192" s="7" t="s">
        <v>989</v>
      </c>
      <c r="I192" s="7" t="s">
        <v>87</v>
      </c>
      <c r="J192" s="7" t="s">
        <v>37</v>
      </c>
      <c r="K192" s="10"/>
      <c r="L192" s="10"/>
    </row>
    <row r="193">
      <c r="A193" s="7" t="s">
        <v>192</v>
      </c>
      <c r="B193" s="10"/>
      <c r="C193" s="10"/>
      <c r="D193" s="10"/>
      <c r="E193" s="7">
        <v>0.0</v>
      </c>
      <c r="F193" s="9" t="s">
        <v>193</v>
      </c>
      <c r="G193" s="7" t="s">
        <v>189</v>
      </c>
      <c r="H193" s="10"/>
      <c r="I193" s="7" t="s">
        <v>41</v>
      </c>
      <c r="J193" s="7" t="s">
        <v>37</v>
      </c>
      <c r="K193" s="10"/>
      <c r="L193" s="10"/>
    </row>
    <row r="194">
      <c r="A194" s="7" t="s">
        <v>194</v>
      </c>
      <c r="B194" s="10"/>
      <c r="C194" s="8">
        <f>+12012280203</f>
        <v>12012280203</v>
      </c>
      <c r="D194" s="7">
        <v>5.0</v>
      </c>
      <c r="E194" s="7">
        <v>4.0</v>
      </c>
      <c r="F194" s="9" t="s">
        <v>195</v>
      </c>
      <c r="G194" s="7" t="s">
        <v>196</v>
      </c>
      <c r="H194" s="7" t="s">
        <v>197</v>
      </c>
      <c r="I194" s="7" t="s">
        <v>41</v>
      </c>
      <c r="J194" s="7" t="s">
        <v>198</v>
      </c>
      <c r="K194" s="10"/>
      <c r="L194" s="10"/>
    </row>
    <row r="195">
      <c r="A195" s="7" t="s">
        <v>393</v>
      </c>
      <c r="B195" s="9" t="s">
        <v>394</v>
      </c>
      <c r="C195" s="10"/>
      <c r="D195" s="7">
        <v>1.0</v>
      </c>
      <c r="E195" s="7">
        <v>1.0</v>
      </c>
      <c r="F195" s="9" t="s">
        <v>395</v>
      </c>
      <c r="G195" s="7" t="s">
        <v>189</v>
      </c>
      <c r="H195" s="7" t="s">
        <v>396</v>
      </c>
      <c r="I195" s="7" t="s">
        <v>120</v>
      </c>
      <c r="J195" s="7" t="s">
        <v>37</v>
      </c>
      <c r="K195" s="10"/>
      <c r="L195" s="10"/>
    </row>
    <row r="196">
      <c r="A196" s="7" t="s">
        <v>397</v>
      </c>
      <c r="B196" s="9" t="s">
        <v>398</v>
      </c>
      <c r="C196" s="8">
        <f>+12012821791</f>
        <v>12012821791</v>
      </c>
      <c r="D196" s="7">
        <v>5.0</v>
      </c>
      <c r="E196" s="7">
        <v>53.0</v>
      </c>
      <c r="F196" s="9" t="s">
        <v>399</v>
      </c>
      <c r="G196" s="7" t="s">
        <v>189</v>
      </c>
      <c r="H196" s="7" t="s">
        <v>204</v>
      </c>
      <c r="I196" s="7" t="s">
        <v>87</v>
      </c>
      <c r="J196" s="7" t="s">
        <v>400</v>
      </c>
      <c r="K196" s="10"/>
      <c r="L196" s="10"/>
    </row>
    <row r="197">
      <c r="A197" s="7" t="s">
        <v>199</v>
      </c>
      <c r="B197" s="10"/>
      <c r="C197" s="8">
        <f>+12013288102</f>
        <v>12013288102</v>
      </c>
      <c r="D197" s="7">
        <v>1.0</v>
      </c>
      <c r="E197" s="7">
        <v>2.0</v>
      </c>
      <c r="F197" s="9" t="s">
        <v>200</v>
      </c>
      <c r="G197" s="7" t="s">
        <v>189</v>
      </c>
      <c r="H197" s="7" t="s">
        <v>201</v>
      </c>
      <c r="I197" s="7" t="s">
        <v>87</v>
      </c>
      <c r="J197" s="7" t="s">
        <v>37</v>
      </c>
      <c r="K197" s="10"/>
      <c r="L197" s="10"/>
    </row>
    <row r="198">
      <c r="A198" s="7" t="s">
        <v>202</v>
      </c>
      <c r="B198" s="10"/>
      <c r="C198" s="8">
        <f>+12016747221</f>
        <v>12016747221</v>
      </c>
      <c r="D198" s="7">
        <v>5.0</v>
      </c>
      <c r="E198" s="7">
        <v>20.0</v>
      </c>
      <c r="F198" s="9" t="s">
        <v>203</v>
      </c>
      <c r="G198" s="7" t="s">
        <v>189</v>
      </c>
      <c r="H198" s="7" t="s">
        <v>204</v>
      </c>
      <c r="I198" s="7" t="s">
        <v>87</v>
      </c>
      <c r="J198" s="7" t="s">
        <v>205</v>
      </c>
      <c r="K198" s="10"/>
      <c r="L198" s="10"/>
    </row>
    <row r="199">
      <c r="A199" s="7" t="s">
        <v>990</v>
      </c>
      <c r="B199" s="9" t="s">
        <v>991</v>
      </c>
      <c r="C199" s="8">
        <f>+12017906754</f>
        <v>12017906754</v>
      </c>
      <c r="D199" s="7">
        <v>5.0</v>
      </c>
      <c r="E199" s="7">
        <v>30.0</v>
      </c>
      <c r="F199" s="9" t="s">
        <v>992</v>
      </c>
      <c r="G199" s="7" t="s">
        <v>196</v>
      </c>
      <c r="H199" s="7" t="s">
        <v>204</v>
      </c>
      <c r="I199" s="7" t="s">
        <v>87</v>
      </c>
      <c r="J199" s="7" t="s">
        <v>18</v>
      </c>
      <c r="K199" s="10"/>
      <c r="L199" s="10"/>
    </row>
    <row r="200">
      <c r="A200" s="7" t="s">
        <v>206</v>
      </c>
      <c r="B200" s="10"/>
      <c r="C200" s="8">
        <f>+18628810219</f>
        <v>18628810219</v>
      </c>
      <c r="D200" s="10"/>
      <c r="E200" s="7">
        <v>0.0</v>
      </c>
      <c r="F200" s="9" t="s">
        <v>207</v>
      </c>
      <c r="G200" s="7" t="s">
        <v>189</v>
      </c>
      <c r="H200" s="7" t="s">
        <v>208</v>
      </c>
      <c r="I200" s="7" t="s">
        <v>41</v>
      </c>
      <c r="J200" s="7" t="s">
        <v>18</v>
      </c>
      <c r="K200" s="10"/>
      <c r="L200" s="10"/>
    </row>
    <row r="201">
      <c r="A201" s="7" t="s">
        <v>209</v>
      </c>
      <c r="B201" s="10"/>
      <c r="C201" s="8">
        <f>+12014966035</f>
        <v>12014966035</v>
      </c>
      <c r="D201" s="10"/>
      <c r="E201" s="7">
        <v>0.0</v>
      </c>
      <c r="F201" s="9" t="s">
        <v>210</v>
      </c>
      <c r="G201" s="7" t="s">
        <v>189</v>
      </c>
      <c r="H201" s="7" t="s">
        <v>211</v>
      </c>
      <c r="I201" s="7" t="s">
        <v>120</v>
      </c>
      <c r="J201" s="7" t="s">
        <v>212</v>
      </c>
      <c r="K201" s="10"/>
      <c r="L201" s="10"/>
    </row>
    <row r="202">
      <c r="A202" s="7" t="s">
        <v>401</v>
      </c>
      <c r="B202" s="9" t="s">
        <v>402</v>
      </c>
      <c r="C202" s="8">
        <f>+12014038728</f>
        <v>12014038728</v>
      </c>
      <c r="D202" s="7">
        <v>5.0</v>
      </c>
      <c r="E202" s="7">
        <v>67.0</v>
      </c>
      <c r="F202" s="9" t="s">
        <v>403</v>
      </c>
      <c r="G202" s="7" t="s">
        <v>189</v>
      </c>
      <c r="H202" s="7" t="s">
        <v>404</v>
      </c>
      <c r="I202" s="7" t="s">
        <v>131</v>
      </c>
      <c r="J202" s="7" t="s">
        <v>405</v>
      </c>
      <c r="K202" s="10"/>
      <c r="L202" s="10"/>
    </row>
    <row r="203">
      <c r="A203" s="7" t="s">
        <v>993</v>
      </c>
      <c r="B203" s="9" t="s">
        <v>994</v>
      </c>
      <c r="C203" s="8">
        <f>+12014402558</f>
        <v>12014402558</v>
      </c>
      <c r="D203" s="7">
        <v>4.0</v>
      </c>
      <c r="E203" s="7">
        <v>3.0</v>
      </c>
      <c r="F203" s="9" t="s">
        <v>995</v>
      </c>
      <c r="G203" s="7" t="s">
        <v>996</v>
      </c>
      <c r="H203" s="7" t="s">
        <v>997</v>
      </c>
      <c r="I203" s="7" t="s">
        <v>44</v>
      </c>
      <c r="J203" s="7" t="s">
        <v>998</v>
      </c>
      <c r="K203" s="10"/>
      <c r="L203" s="10"/>
    </row>
    <row r="204">
      <c r="A204" s="7" t="s">
        <v>213</v>
      </c>
      <c r="B204" s="10"/>
      <c r="C204" s="10"/>
      <c r="D204" s="10"/>
      <c r="E204" s="7">
        <v>0.0</v>
      </c>
      <c r="F204" s="9" t="s">
        <v>214</v>
      </c>
      <c r="G204" s="7" t="s">
        <v>189</v>
      </c>
      <c r="H204" s="10"/>
      <c r="I204" s="7" t="s">
        <v>41</v>
      </c>
      <c r="J204" s="7" t="s">
        <v>37</v>
      </c>
      <c r="K204" s="10"/>
      <c r="L204" s="10"/>
    </row>
    <row r="205">
      <c r="A205" s="7" t="s">
        <v>999</v>
      </c>
      <c r="B205" s="9" t="s">
        <v>1000</v>
      </c>
      <c r="C205" s="8">
        <f>+12018099923</f>
        <v>12018099923</v>
      </c>
      <c r="D205" s="10"/>
      <c r="E205" s="7">
        <v>0.0</v>
      </c>
      <c r="F205" s="9" t="s">
        <v>1001</v>
      </c>
      <c r="G205" s="7" t="s">
        <v>189</v>
      </c>
      <c r="H205" s="7" t="s">
        <v>1002</v>
      </c>
      <c r="I205" s="7" t="s">
        <v>120</v>
      </c>
      <c r="J205" s="7" t="s">
        <v>37</v>
      </c>
      <c r="K205" s="10"/>
      <c r="L205" s="10"/>
    </row>
    <row r="206">
      <c r="A206" s="7" t="s">
        <v>406</v>
      </c>
      <c r="B206" s="9" t="s">
        <v>407</v>
      </c>
      <c r="C206" s="8">
        <f>+12019451070</f>
        <v>12019451070</v>
      </c>
      <c r="D206" s="7">
        <v>3.7</v>
      </c>
      <c r="E206" s="7">
        <v>19.0</v>
      </c>
      <c r="F206" s="9" t="s">
        <v>408</v>
      </c>
      <c r="G206" s="7" t="s">
        <v>409</v>
      </c>
      <c r="H206" s="7" t="s">
        <v>410</v>
      </c>
      <c r="I206" s="7" t="s">
        <v>120</v>
      </c>
      <c r="J206" s="7" t="s">
        <v>411</v>
      </c>
      <c r="K206" s="10"/>
      <c r="L206" s="10"/>
    </row>
    <row r="207">
      <c r="A207" s="7" t="s">
        <v>215</v>
      </c>
      <c r="B207" s="10"/>
      <c r="C207" s="8">
        <f>+12018868888</f>
        <v>12018868888</v>
      </c>
      <c r="D207" s="7">
        <v>3.9</v>
      </c>
      <c r="E207" s="7">
        <v>10.0</v>
      </c>
      <c r="F207" s="9" t="s">
        <v>216</v>
      </c>
      <c r="G207" s="7" t="s">
        <v>189</v>
      </c>
      <c r="H207" s="7" t="s">
        <v>217</v>
      </c>
      <c r="I207" s="7" t="s">
        <v>131</v>
      </c>
      <c r="J207" s="7" t="s">
        <v>121</v>
      </c>
      <c r="K207" s="10"/>
      <c r="L207" s="10"/>
    </row>
    <row r="208">
      <c r="A208" s="7" t="s">
        <v>1003</v>
      </c>
      <c r="B208" s="9" t="s">
        <v>1004</v>
      </c>
      <c r="C208" s="8">
        <f>+12017981080</f>
        <v>12017981080</v>
      </c>
      <c r="D208" s="7">
        <v>4.2</v>
      </c>
      <c r="E208" s="7">
        <v>98.0</v>
      </c>
      <c r="F208" s="9" t="s">
        <v>1005</v>
      </c>
      <c r="G208" s="7" t="s">
        <v>223</v>
      </c>
      <c r="H208" s="7" t="s">
        <v>1006</v>
      </c>
      <c r="I208" s="7" t="s">
        <v>23</v>
      </c>
      <c r="J208" s="7" t="s">
        <v>121</v>
      </c>
      <c r="K208" s="10"/>
      <c r="L208" s="10"/>
    </row>
    <row r="209">
      <c r="A209" s="7" t="s">
        <v>412</v>
      </c>
      <c r="B209" s="9" t="s">
        <v>413</v>
      </c>
      <c r="C209" s="8">
        <f>+12012905256</f>
        <v>12012905256</v>
      </c>
      <c r="D209" s="7">
        <v>5.0</v>
      </c>
      <c r="E209" s="7">
        <v>1.0</v>
      </c>
      <c r="F209" s="9" t="s">
        <v>414</v>
      </c>
      <c r="G209" s="7" t="s">
        <v>196</v>
      </c>
      <c r="H209" s="7" t="s">
        <v>204</v>
      </c>
      <c r="I209" s="7" t="s">
        <v>87</v>
      </c>
      <c r="J209" s="7" t="s">
        <v>18</v>
      </c>
      <c r="K209" s="10"/>
      <c r="L209" s="10"/>
    </row>
    <row r="210">
      <c r="A210" s="7" t="s">
        <v>218</v>
      </c>
      <c r="B210" s="10"/>
      <c r="C210" s="8">
        <f>+12013906093</f>
        <v>12013906093</v>
      </c>
      <c r="D210" s="7">
        <v>1.0</v>
      </c>
      <c r="E210" s="7">
        <v>1.0</v>
      </c>
      <c r="F210" s="9" t="s">
        <v>219</v>
      </c>
      <c r="G210" s="7" t="s">
        <v>189</v>
      </c>
      <c r="H210" s="7" t="s">
        <v>220</v>
      </c>
      <c r="I210" s="7" t="s">
        <v>120</v>
      </c>
      <c r="J210" s="7" t="s">
        <v>37</v>
      </c>
      <c r="K210" s="10"/>
      <c r="L210" s="10"/>
    </row>
    <row r="211">
      <c r="A211" s="7" t="s">
        <v>221</v>
      </c>
      <c r="B211" s="10"/>
      <c r="C211" s="8">
        <f>+12019412360</f>
        <v>12019412360</v>
      </c>
      <c r="D211" s="7">
        <v>3.6</v>
      </c>
      <c r="E211" s="7">
        <v>5.0</v>
      </c>
      <c r="F211" s="9" t="s">
        <v>222</v>
      </c>
      <c r="G211" s="7" t="s">
        <v>223</v>
      </c>
      <c r="H211" s="7" t="s">
        <v>224</v>
      </c>
      <c r="I211" s="7" t="s">
        <v>56</v>
      </c>
      <c r="J211" s="7" t="s">
        <v>37</v>
      </c>
      <c r="K211" s="10"/>
      <c r="L211" s="10"/>
    </row>
    <row r="212">
      <c r="A212" s="7" t="s">
        <v>225</v>
      </c>
      <c r="B212" s="10"/>
      <c r="C212" s="8">
        <f>+12019441087</f>
        <v>12019441087</v>
      </c>
      <c r="D212" s="7">
        <v>5.0</v>
      </c>
      <c r="E212" s="7">
        <v>1.0</v>
      </c>
      <c r="F212" s="9" t="s">
        <v>226</v>
      </c>
      <c r="G212" s="7" t="s">
        <v>227</v>
      </c>
      <c r="H212" s="7" t="s">
        <v>228</v>
      </c>
      <c r="I212" s="7" t="s">
        <v>87</v>
      </c>
      <c r="J212" s="7" t="s">
        <v>37</v>
      </c>
      <c r="K212" s="10"/>
      <c r="L212" s="10"/>
    </row>
    <row r="213">
      <c r="A213" s="7" t="s">
        <v>1007</v>
      </c>
      <c r="B213" s="9" t="s">
        <v>1008</v>
      </c>
      <c r="C213" s="8">
        <f>+12015007522</f>
        <v>12015007522</v>
      </c>
      <c r="D213" s="7">
        <v>4.6</v>
      </c>
      <c r="E213" s="7">
        <v>42.0</v>
      </c>
      <c r="F213" s="9" t="s">
        <v>1009</v>
      </c>
      <c r="G213" s="7" t="s">
        <v>235</v>
      </c>
      <c r="H213" s="7" t="s">
        <v>1010</v>
      </c>
      <c r="I213" s="7" t="s">
        <v>23</v>
      </c>
      <c r="J213" s="7" t="s">
        <v>191</v>
      </c>
      <c r="K213" s="10"/>
      <c r="L213" s="10"/>
    </row>
    <row r="214">
      <c r="A214" s="7" t="s">
        <v>1011</v>
      </c>
      <c r="B214" s="9" t="s">
        <v>1012</v>
      </c>
      <c r="C214" s="8">
        <f>+12014404880</f>
        <v>12014404880</v>
      </c>
      <c r="D214" s="7">
        <v>5.0</v>
      </c>
      <c r="E214" s="7">
        <v>4.0</v>
      </c>
      <c r="F214" s="9" t="s">
        <v>1013</v>
      </c>
      <c r="G214" s="7" t="s">
        <v>235</v>
      </c>
      <c r="H214" s="7" t="s">
        <v>1014</v>
      </c>
      <c r="I214" s="7" t="s">
        <v>23</v>
      </c>
      <c r="J214" s="7" t="s">
        <v>1015</v>
      </c>
      <c r="K214" s="10"/>
      <c r="L214" s="10"/>
    </row>
    <row r="215">
      <c r="A215" s="7" t="s">
        <v>1016</v>
      </c>
      <c r="B215" s="9" t="s">
        <v>1017</v>
      </c>
      <c r="C215" s="8">
        <f>+19733135794</f>
        <v>19733135794</v>
      </c>
      <c r="D215" s="7">
        <v>4.9</v>
      </c>
      <c r="E215" s="7">
        <v>102.0</v>
      </c>
      <c r="F215" s="9" t="s">
        <v>1018</v>
      </c>
      <c r="G215" s="7" t="s">
        <v>1019</v>
      </c>
      <c r="H215" s="7" t="s">
        <v>1020</v>
      </c>
      <c r="I215" s="7" t="s">
        <v>23</v>
      </c>
      <c r="J215" s="7" t="s">
        <v>1021</v>
      </c>
      <c r="K215" s="10"/>
      <c r="L215" s="10"/>
    </row>
    <row r="216">
      <c r="A216" s="7" t="s">
        <v>1022</v>
      </c>
      <c r="B216" s="9" t="s">
        <v>1023</v>
      </c>
      <c r="C216" s="8">
        <f>+12014380200</f>
        <v>12014380200</v>
      </c>
      <c r="D216" s="7">
        <v>5.0</v>
      </c>
      <c r="E216" s="7">
        <v>18.0</v>
      </c>
      <c r="F216" s="9" t="s">
        <v>1024</v>
      </c>
      <c r="G216" s="7" t="s">
        <v>235</v>
      </c>
      <c r="H216" s="7" t="s">
        <v>1025</v>
      </c>
      <c r="I216" s="7" t="s">
        <v>23</v>
      </c>
      <c r="J216" s="7" t="s">
        <v>121</v>
      </c>
      <c r="K216" s="10"/>
      <c r="L216" s="10"/>
    </row>
    <row r="217">
      <c r="A217" s="7" t="s">
        <v>1026</v>
      </c>
      <c r="B217" s="9" t="s">
        <v>1027</v>
      </c>
      <c r="C217" s="8">
        <f>+19736399100</f>
        <v>19736399100</v>
      </c>
      <c r="D217" s="7">
        <v>3.3</v>
      </c>
      <c r="E217" s="7">
        <v>35.0</v>
      </c>
      <c r="F217" s="9" t="s">
        <v>1028</v>
      </c>
      <c r="G217" s="7" t="s">
        <v>1029</v>
      </c>
      <c r="H217" s="7" t="s">
        <v>1030</v>
      </c>
      <c r="I217" s="7" t="s">
        <v>23</v>
      </c>
      <c r="J217" s="7" t="s">
        <v>191</v>
      </c>
      <c r="K217" s="10"/>
      <c r="L217" s="10"/>
    </row>
    <row r="218">
      <c r="A218" s="7" t="s">
        <v>1031</v>
      </c>
      <c r="B218" s="9" t="s">
        <v>1032</v>
      </c>
      <c r="C218" s="8">
        <f>+12019432445</f>
        <v>12019432445</v>
      </c>
      <c r="D218" s="7">
        <v>5.0</v>
      </c>
      <c r="E218" s="7">
        <v>86.0</v>
      </c>
      <c r="F218" s="9" t="s">
        <v>1033</v>
      </c>
      <c r="G218" s="7" t="s">
        <v>1029</v>
      </c>
      <c r="H218" s="7" t="s">
        <v>1034</v>
      </c>
      <c r="I218" s="7" t="s">
        <v>41</v>
      </c>
      <c r="J218" s="7" t="s">
        <v>1035</v>
      </c>
      <c r="K218" s="10"/>
      <c r="L218" s="10"/>
    </row>
    <row r="219">
      <c r="A219" s="12" t="s">
        <v>1036</v>
      </c>
      <c r="B219" s="9" t="s">
        <v>1037</v>
      </c>
      <c r="C219" s="8">
        <f>+12012425588</f>
        <v>12012425588</v>
      </c>
      <c r="D219" s="7">
        <v>4.4</v>
      </c>
      <c r="E219" s="7">
        <v>13.0</v>
      </c>
      <c r="F219" s="9" t="s">
        <v>1038</v>
      </c>
      <c r="G219" s="7" t="s">
        <v>235</v>
      </c>
      <c r="H219" s="7" t="s">
        <v>1039</v>
      </c>
      <c r="I219" s="7" t="s">
        <v>41</v>
      </c>
      <c r="J219" s="7" t="s">
        <v>191</v>
      </c>
      <c r="K219" s="10"/>
      <c r="L219" s="10"/>
    </row>
    <row r="220">
      <c r="A220" s="7" t="s">
        <v>1040</v>
      </c>
      <c r="B220" s="9" t="s">
        <v>1041</v>
      </c>
      <c r="C220" s="8">
        <f>+12017818632</f>
        <v>12017818632</v>
      </c>
      <c r="D220" s="7">
        <v>4.7</v>
      </c>
      <c r="E220" s="7">
        <v>119.0</v>
      </c>
      <c r="F220" s="9" t="s">
        <v>1042</v>
      </c>
      <c r="G220" s="7" t="s">
        <v>1043</v>
      </c>
      <c r="H220" s="7" t="s">
        <v>1044</v>
      </c>
      <c r="I220" s="7" t="s">
        <v>28</v>
      </c>
      <c r="J220" s="7" t="s">
        <v>954</v>
      </c>
      <c r="K220" s="10"/>
      <c r="L220" s="10"/>
    </row>
    <row r="221">
      <c r="A221" s="7" t="s">
        <v>1045</v>
      </c>
      <c r="B221" s="9" t="s">
        <v>1046</v>
      </c>
      <c r="C221" s="8">
        <f>+12015806600</f>
        <v>12015806600</v>
      </c>
      <c r="D221" s="7">
        <v>4.1</v>
      </c>
      <c r="E221" s="7">
        <v>19.0</v>
      </c>
      <c r="F221" s="9" t="s">
        <v>1047</v>
      </c>
      <c r="G221" s="7" t="s">
        <v>1048</v>
      </c>
      <c r="H221" s="7" t="s">
        <v>1049</v>
      </c>
      <c r="I221" s="7" t="s">
        <v>23</v>
      </c>
      <c r="J221" s="7" t="s">
        <v>121</v>
      </c>
      <c r="K221" s="10"/>
      <c r="L221" s="10"/>
    </row>
    <row r="222">
      <c r="A222" s="7" t="s">
        <v>1050</v>
      </c>
      <c r="B222" s="9" t="s">
        <v>1051</v>
      </c>
      <c r="C222" s="8">
        <f>+12014893900</f>
        <v>12014893900</v>
      </c>
      <c r="D222" s="10"/>
      <c r="E222" s="7">
        <v>0.0</v>
      </c>
      <c r="F222" s="9" t="s">
        <v>1052</v>
      </c>
      <c r="G222" s="7" t="s">
        <v>235</v>
      </c>
      <c r="H222" s="7" t="s">
        <v>1053</v>
      </c>
      <c r="I222" s="7" t="s">
        <v>23</v>
      </c>
      <c r="J222" s="7" t="s">
        <v>37</v>
      </c>
      <c r="K222" s="10"/>
      <c r="L222" s="10"/>
    </row>
    <row r="223">
      <c r="A223" s="7" t="s">
        <v>415</v>
      </c>
      <c r="B223" s="9" t="s">
        <v>416</v>
      </c>
      <c r="C223" s="8">
        <f>+12014404330</f>
        <v>12014404330</v>
      </c>
      <c r="D223" s="7">
        <v>4.6</v>
      </c>
      <c r="E223" s="7">
        <v>19.0</v>
      </c>
      <c r="F223" s="9" t="s">
        <v>417</v>
      </c>
      <c r="G223" s="7" t="s">
        <v>235</v>
      </c>
      <c r="H223" s="7" t="s">
        <v>418</v>
      </c>
      <c r="I223" s="7" t="s">
        <v>44</v>
      </c>
      <c r="J223" s="7" t="s">
        <v>37</v>
      </c>
      <c r="K223" s="10"/>
      <c r="L223" s="10"/>
    </row>
    <row r="224">
      <c r="A224" s="7" t="s">
        <v>1054</v>
      </c>
      <c r="B224" s="9" t="s">
        <v>1055</v>
      </c>
      <c r="C224" s="8">
        <f>+12014196223</f>
        <v>12014196223</v>
      </c>
      <c r="D224" s="7">
        <v>4.7</v>
      </c>
      <c r="E224" s="7">
        <v>290.0</v>
      </c>
      <c r="F224" s="9" t="s">
        <v>1056</v>
      </c>
      <c r="G224" s="7" t="s">
        <v>1043</v>
      </c>
      <c r="H224" s="7" t="s">
        <v>1057</v>
      </c>
      <c r="I224" s="7" t="s">
        <v>28</v>
      </c>
      <c r="J224" s="7" t="s">
        <v>18</v>
      </c>
      <c r="K224" s="10"/>
      <c r="L224" s="10"/>
    </row>
    <row r="225">
      <c r="A225" s="7" t="s">
        <v>1058</v>
      </c>
      <c r="B225" s="9" t="s">
        <v>1059</v>
      </c>
      <c r="C225" s="8">
        <f>+12013428555</f>
        <v>12013428555</v>
      </c>
      <c r="D225" s="7">
        <v>5.0</v>
      </c>
      <c r="E225" s="7">
        <v>191.0</v>
      </c>
      <c r="F225" s="9" t="s">
        <v>1060</v>
      </c>
      <c r="G225" s="7" t="s">
        <v>1061</v>
      </c>
      <c r="H225" s="7" t="s">
        <v>1062</v>
      </c>
      <c r="I225" s="7" t="s">
        <v>28</v>
      </c>
      <c r="J225" s="7" t="s">
        <v>18</v>
      </c>
      <c r="K225" s="10"/>
      <c r="L225" s="10"/>
    </row>
    <row r="226">
      <c r="A226" s="7" t="s">
        <v>1063</v>
      </c>
      <c r="B226" s="9" t="s">
        <v>1064</v>
      </c>
      <c r="C226" s="8">
        <f>+12012882022</f>
        <v>12012882022</v>
      </c>
      <c r="D226" s="7">
        <v>4.9</v>
      </c>
      <c r="E226" s="7">
        <v>195.0</v>
      </c>
      <c r="F226" s="9" t="s">
        <v>1065</v>
      </c>
      <c r="G226" s="7" t="s">
        <v>1066</v>
      </c>
      <c r="H226" s="7" t="s">
        <v>1067</v>
      </c>
      <c r="I226" s="7" t="s">
        <v>539</v>
      </c>
      <c r="J226" s="7" t="s">
        <v>18</v>
      </c>
      <c r="K226" s="10"/>
      <c r="L226" s="10"/>
    </row>
    <row r="227">
      <c r="A227" s="7" t="s">
        <v>1068</v>
      </c>
      <c r="B227" s="9" t="s">
        <v>1069</v>
      </c>
      <c r="C227" s="8">
        <f>+12012124027</f>
        <v>12012124027</v>
      </c>
      <c r="D227" s="7">
        <v>4.8</v>
      </c>
      <c r="E227" s="7">
        <v>40.0</v>
      </c>
      <c r="F227" s="9" t="s">
        <v>1070</v>
      </c>
      <c r="G227" s="7" t="s">
        <v>1061</v>
      </c>
      <c r="H227" s="7" t="s">
        <v>1071</v>
      </c>
      <c r="I227" s="7" t="s">
        <v>28</v>
      </c>
      <c r="J227" s="7" t="s">
        <v>121</v>
      </c>
      <c r="K227" s="10"/>
      <c r="L227" s="10"/>
    </row>
    <row r="228">
      <c r="A228" s="7" t="s">
        <v>1072</v>
      </c>
      <c r="B228" s="9" t="s">
        <v>1073</v>
      </c>
      <c r="C228" s="8">
        <f>+12015251555</f>
        <v>12015251555</v>
      </c>
      <c r="D228" s="7">
        <v>4.9</v>
      </c>
      <c r="E228" s="7">
        <v>387.0</v>
      </c>
      <c r="F228" s="9" t="s">
        <v>1074</v>
      </c>
      <c r="G228" s="7" t="s">
        <v>1061</v>
      </c>
      <c r="H228" s="7" t="s">
        <v>1075</v>
      </c>
      <c r="I228" s="7" t="s">
        <v>28</v>
      </c>
      <c r="J228" s="7" t="s">
        <v>18</v>
      </c>
      <c r="K228" s="10"/>
      <c r="L228" s="10"/>
    </row>
    <row r="229">
      <c r="A229" s="7" t="s">
        <v>1076</v>
      </c>
      <c r="B229" s="9" t="s">
        <v>1077</v>
      </c>
      <c r="C229" s="8">
        <f>+12013424014</f>
        <v>12013424014</v>
      </c>
      <c r="D229" s="7">
        <v>4.7</v>
      </c>
      <c r="E229" s="7">
        <v>63.0</v>
      </c>
      <c r="F229" s="9" t="s">
        <v>1078</v>
      </c>
      <c r="G229" s="7" t="s">
        <v>235</v>
      </c>
      <c r="H229" s="7" t="s">
        <v>1079</v>
      </c>
      <c r="I229" s="7" t="s">
        <v>28</v>
      </c>
      <c r="J229" s="7" t="s">
        <v>121</v>
      </c>
      <c r="K229" s="10"/>
      <c r="L229" s="10"/>
    </row>
    <row r="230">
      <c r="A230" s="7" t="s">
        <v>1080</v>
      </c>
      <c r="B230" s="9" t="s">
        <v>1081</v>
      </c>
      <c r="C230" s="8">
        <f>+12015250025</f>
        <v>12015250025</v>
      </c>
      <c r="D230" s="7">
        <v>4.8</v>
      </c>
      <c r="E230" s="7">
        <v>53.0</v>
      </c>
      <c r="F230" s="9" t="s">
        <v>1082</v>
      </c>
      <c r="G230" s="7" t="s">
        <v>1083</v>
      </c>
      <c r="H230" s="7" t="s">
        <v>1084</v>
      </c>
      <c r="I230" s="7" t="s">
        <v>28</v>
      </c>
      <c r="J230" s="7" t="s">
        <v>121</v>
      </c>
      <c r="K230" s="10"/>
      <c r="L230" s="10"/>
    </row>
    <row r="231">
      <c r="A231" s="7" t="s">
        <v>1085</v>
      </c>
      <c r="B231" s="9" t="s">
        <v>1086</v>
      </c>
      <c r="C231" s="8">
        <f>+18336574976</f>
        <v>18336574976</v>
      </c>
      <c r="D231" s="7">
        <v>4.9</v>
      </c>
      <c r="E231" s="7">
        <v>775.0</v>
      </c>
      <c r="F231" s="9" t="s">
        <v>1087</v>
      </c>
      <c r="G231" s="7" t="s">
        <v>1066</v>
      </c>
      <c r="H231" s="7" t="s">
        <v>1088</v>
      </c>
      <c r="I231" s="7" t="s">
        <v>32</v>
      </c>
      <c r="J231" s="7" t="s">
        <v>18</v>
      </c>
      <c r="K231" s="10"/>
      <c r="L231" s="10"/>
    </row>
    <row r="232">
      <c r="A232" s="7" t="s">
        <v>1089</v>
      </c>
      <c r="B232" s="9" t="s">
        <v>1090</v>
      </c>
      <c r="C232" s="8">
        <f>+12014888200</f>
        <v>12014888200</v>
      </c>
      <c r="D232" s="7">
        <v>5.0</v>
      </c>
      <c r="E232" s="7">
        <v>1.0</v>
      </c>
      <c r="F232" s="9" t="s">
        <v>1091</v>
      </c>
      <c r="G232" s="7" t="s">
        <v>235</v>
      </c>
      <c r="H232" s="7" t="s">
        <v>1092</v>
      </c>
      <c r="I232" s="7" t="s">
        <v>28</v>
      </c>
      <c r="J232" s="7" t="s">
        <v>37</v>
      </c>
      <c r="K232" s="10"/>
      <c r="L232" s="10"/>
    </row>
    <row r="233">
      <c r="A233" s="7" t="s">
        <v>1093</v>
      </c>
      <c r="B233" s="9" t="s">
        <v>1094</v>
      </c>
      <c r="C233" s="8">
        <f>+12016410006</f>
        <v>12016410006</v>
      </c>
      <c r="D233" s="10"/>
      <c r="E233" s="7">
        <v>0.0</v>
      </c>
      <c r="F233" s="9" t="s">
        <v>1095</v>
      </c>
      <c r="G233" s="7" t="s">
        <v>235</v>
      </c>
      <c r="H233" s="7" t="s">
        <v>236</v>
      </c>
      <c r="I233" s="7" t="s">
        <v>23</v>
      </c>
      <c r="J233" s="7" t="s">
        <v>37</v>
      </c>
      <c r="K233" s="10"/>
      <c r="L233" s="10"/>
    </row>
    <row r="234">
      <c r="A234" s="7" t="s">
        <v>1096</v>
      </c>
      <c r="B234" s="9" t="s">
        <v>1097</v>
      </c>
      <c r="C234" s="8">
        <f>+12012429666</f>
        <v>12012429666</v>
      </c>
      <c r="D234" s="7">
        <v>4.8</v>
      </c>
      <c r="E234" s="7">
        <v>48.0</v>
      </c>
      <c r="F234" s="9" t="s">
        <v>1098</v>
      </c>
      <c r="G234" s="7" t="s">
        <v>235</v>
      </c>
      <c r="H234" s="7" t="s">
        <v>1099</v>
      </c>
      <c r="I234" s="7" t="s">
        <v>98</v>
      </c>
      <c r="J234" s="7" t="s">
        <v>191</v>
      </c>
      <c r="K234" s="10"/>
      <c r="L234" s="10"/>
    </row>
    <row r="235">
      <c r="A235" s="7" t="s">
        <v>229</v>
      </c>
      <c r="B235" s="10"/>
      <c r="C235" s="8">
        <f>+12019458812</f>
        <v>12019458812</v>
      </c>
      <c r="D235" s="7">
        <v>4.2</v>
      </c>
      <c r="E235" s="7">
        <v>5.0</v>
      </c>
      <c r="F235" s="9" t="s">
        <v>230</v>
      </c>
      <c r="G235" s="7" t="s">
        <v>231</v>
      </c>
      <c r="H235" s="7" t="s">
        <v>232</v>
      </c>
      <c r="I235" s="7" t="s">
        <v>41</v>
      </c>
      <c r="J235" s="7" t="s">
        <v>37</v>
      </c>
      <c r="K235" s="10"/>
      <c r="L235" s="10"/>
    </row>
    <row r="236">
      <c r="A236" s="7" t="s">
        <v>1100</v>
      </c>
      <c r="B236" s="9" t="s">
        <v>1101</v>
      </c>
      <c r="C236" s="8">
        <f>+12018801800</f>
        <v>12018801800</v>
      </c>
      <c r="D236" s="7">
        <v>4.0</v>
      </c>
      <c r="E236" s="7">
        <v>1.0</v>
      </c>
      <c r="F236" s="9" t="s">
        <v>1102</v>
      </c>
      <c r="G236" s="7" t="s">
        <v>235</v>
      </c>
      <c r="H236" s="7" t="s">
        <v>1103</v>
      </c>
      <c r="I236" s="7" t="s">
        <v>28</v>
      </c>
      <c r="J236" s="7" t="s">
        <v>37</v>
      </c>
      <c r="K236" s="10"/>
      <c r="L236" s="10"/>
    </row>
    <row r="237">
      <c r="A237" s="7" t="s">
        <v>1104</v>
      </c>
      <c r="B237" s="9" t="s">
        <v>1105</v>
      </c>
      <c r="C237" s="8">
        <f>+12013319083</f>
        <v>12013319083</v>
      </c>
      <c r="D237" s="7">
        <v>4.8</v>
      </c>
      <c r="E237" s="7">
        <v>36.0</v>
      </c>
      <c r="F237" s="9" t="s">
        <v>1106</v>
      </c>
      <c r="G237" s="7" t="s">
        <v>1083</v>
      </c>
      <c r="H237" s="7" t="s">
        <v>1107</v>
      </c>
      <c r="I237" s="7" t="s">
        <v>28</v>
      </c>
      <c r="J237" s="7" t="s">
        <v>18</v>
      </c>
      <c r="K237" s="10"/>
      <c r="L237" s="10"/>
    </row>
    <row r="238">
      <c r="A238" s="7" t="s">
        <v>1108</v>
      </c>
      <c r="B238" s="9" t="s">
        <v>1109</v>
      </c>
      <c r="C238" s="8">
        <f>+12012898614</f>
        <v>12012898614</v>
      </c>
      <c r="D238" s="7">
        <v>5.0</v>
      </c>
      <c r="E238" s="7">
        <v>436.0</v>
      </c>
      <c r="F238" s="9" t="s">
        <v>1110</v>
      </c>
      <c r="G238" s="7" t="s">
        <v>1066</v>
      </c>
      <c r="H238" s="7" t="s">
        <v>1111</v>
      </c>
      <c r="I238" s="7" t="s">
        <v>28</v>
      </c>
      <c r="J238" s="7" t="s">
        <v>18</v>
      </c>
      <c r="K238" s="10"/>
      <c r="L238" s="10"/>
    </row>
    <row r="239">
      <c r="A239" s="7" t="s">
        <v>1112</v>
      </c>
      <c r="B239" s="9" t="s">
        <v>1113</v>
      </c>
      <c r="C239" s="8">
        <f>+12019280300</f>
        <v>12019280300</v>
      </c>
      <c r="D239" s="7">
        <v>5.0</v>
      </c>
      <c r="E239" s="7">
        <v>198.0</v>
      </c>
      <c r="F239" s="9" t="s">
        <v>1114</v>
      </c>
      <c r="G239" s="7" t="s">
        <v>1066</v>
      </c>
      <c r="H239" s="7" t="s">
        <v>1115</v>
      </c>
      <c r="I239" s="7" t="s">
        <v>32</v>
      </c>
      <c r="J239" s="7" t="s">
        <v>18</v>
      </c>
      <c r="K239" s="10"/>
      <c r="L239" s="10"/>
    </row>
    <row r="240">
      <c r="A240" s="7" t="s">
        <v>1116</v>
      </c>
      <c r="B240" s="9" t="s">
        <v>1117</v>
      </c>
      <c r="C240" s="8">
        <f>+18884285308</f>
        <v>18884285308</v>
      </c>
      <c r="D240" s="7">
        <v>4.8</v>
      </c>
      <c r="E240" s="7">
        <v>22.0</v>
      </c>
      <c r="F240" s="9" t="s">
        <v>1118</v>
      </c>
      <c r="G240" s="7" t="s">
        <v>1083</v>
      </c>
      <c r="H240" s="7" t="s">
        <v>1119</v>
      </c>
      <c r="I240" s="7" t="s">
        <v>131</v>
      </c>
      <c r="J240" s="7" t="s">
        <v>1120</v>
      </c>
      <c r="K240" s="10"/>
      <c r="L240" s="10"/>
    </row>
    <row r="241">
      <c r="A241" s="7" t="s">
        <v>1121</v>
      </c>
      <c r="B241" s="9" t="s">
        <v>1122</v>
      </c>
      <c r="C241" s="8">
        <f>+12016361644</f>
        <v>12016361644</v>
      </c>
      <c r="D241" s="7">
        <v>4.7</v>
      </c>
      <c r="E241" s="7">
        <v>316.0</v>
      </c>
      <c r="F241" s="9" t="s">
        <v>1123</v>
      </c>
      <c r="G241" s="7" t="s">
        <v>1066</v>
      </c>
      <c r="H241" s="7" t="s">
        <v>1124</v>
      </c>
      <c r="I241" s="7" t="s">
        <v>131</v>
      </c>
      <c r="J241" s="7" t="s">
        <v>191</v>
      </c>
      <c r="K241" s="10"/>
      <c r="L241" s="10"/>
    </row>
    <row r="242">
      <c r="A242" s="7" t="s">
        <v>233</v>
      </c>
      <c r="B242" s="10"/>
      <c r="C242" s="8">
        <f>+12014403400</f>
        <v>12014403400</v>
      </c>
      <c r="D242" s="10"/>
      <c r="E242" s="7">
        <v>0.0</v>
      </c>
      <c r="F242" s="9" t="s">
        <v>234</v>
      </c>
      <c r="G242" s="7" t="s">
        <v>235</v>
      </c>
      <c r="H242" s="7" t="s">
        <v>236</v>
      </c>
      <c r="I242" s="7" t="s">
        <v>23</v>
      </c>
      <c r="J242" s="7" t="s">
        <v>37</v>
      </c>
      <c r="K242" s="10"/>
      <c r="L242" s="10"/>
    </row>
    <row r="243">
      <c r="A243" s="7" t="s">
        <v>237</v>
      </c>
      <c r="B243" s="10"/>
      <c r="C243" s="8">
        <f>+12019453900</f>
        <v>12019453900</v>
      </c>
      <c r="D243" s="7">
        <v>4.7</v>
      </c>
      <c r="E243" s="7">
        <v>3.0</v>
      </c>
      <c r="F243" s="9" t="s">
        <v>238</v>
      </c>
      <c r="G243" s="7" t="s">
        <v>235</v>
      </c>
      <c r="H243" s="7" t="s">
        <v>232</v>
      </c>
      <c r="I243" s="7" t="s">
        <v>41</v>
      </c>
      <c r="J243" s="7" t="s">
        <v>37</v>
      </c>
      <c r="K243" s="10"/>
      <c r="L243" s="10"/>
    </row>
    <row r="244">
      <c r="A244" s="7" t="s">
        <v>239</v>
      </c>
      <c r="B244" s="10"/>
      <c r="C244" s="8">
        <f>+12019458812</f>
        <v>12019458812</v>
      </c>
      <c r="D244" s="7">
        <v>5.0</v>
      </c>
      <c r="E244" s="7">
        <v>3.0</v>
      </c>
      <c r="F244" s="9" t="s">
        <v>240</v>
      </c>
      <c r="G244" s="7" t="s">
        <v>235</v>
      </c>
      <c r="H244" s="7" t="s">
        <v>232</v>
      </c>
      <c r="I244" s="7" t="s">
        <v>41</v>
      </c>
      <c r="J244" s="7" t="s">
        <v>37</v>
      </c>
      <c r="K244" s="10"/>
      <c r="L244" s="10"/>
    </row>
    <row r="245">
      <c r="A245" s="7" t="s">
        <v>1125</v>
      </c>
      <c r="B245" s="9" t="s">
        <v>1126</v>
      </c>
      <c r="C245" s="8">
        <f>+12018544444</f>
        <v>12018544444</v>
      </c>
      <c r="D245" s="7">
        <v>4.8</v>
      </c>
      <c r="E245" s="7">
        <v>233.0</v>
      </c>
      <c r="F245" s="9" t="s">
        <v>1127</v>
      </c>
      <c r="G245" s="7" t="s">
        <v>235</v>
      </c>
      <c r="H245" s="7" t="s">
        <v>1128</v>
      </c>
      <c r="I245" s="7" t="s">
        <v>379</v>
      </c>
      <c r="J245" s="7" t="s">
        <v>18</v>
      </c>
      <c r="K245" s="10"/>
      <c r="L245" s="10"/>
    </row>
    <row r="246">
      <c r="A246" s="7" t="s">
        <v>1129</v>
      </c>
      <c r="B246" s="9" t="s">
        <v>1130</v>
      </c>
      <c r="C246" s="8">
        <f>+12017270700</f>
        <v>12017270700</v>
      </c>
      <c r="D246" s="7">
        <v>4.7</v>
      </c>
      <c r="E246" s="7">
        <v>51.0</v>
      </c>
      <c r="F246" s="9" t="s">
        <v>1131</v>
      </c>
      <c r="G246" s="7" t="s">
        <v>243</v>
      </c>
      <c r="H246" s="7" t="s">
        <v>1132</v>
      </c>
      <c r="I246" s="7" t="s">
        <v>44</v>
      </c>
      <c r="J246" s="7" t="s">
        <v>272</v>
      </c>
      <c r="K246" s="10"/>
      <c r="L246" s="10"/>
    </row>
    <row r="247">
      <c r="A247" s="7" t="s">
        <v>241</v>
      </c>
      <c r="B247" s="10"/>
      <c r="C247" s="8">
        <f>+12019410070</f>
        <v>12019410070</v>
      </c>
      <c r="D247" s="7">
        <v>4.6</v>
      </c>
      <c r="E247" s="7">
        <v>79.0</v>
      </c>
      <c r="F247" s="9" t="s">
        <v>242</v>
      </c>
      <c r="G247" s="7" t="s">
        <v>243</v>
      </c>
      <c r="H247" s="7" t="s">
        <v>244</v>
      </c>
      <c r="I247" s="7" t="s">
        <v>87</v>
      </c>
      <c r="J247" s="7" t="s">
        <v>245</v>
      </c>
      <c r="K247" s="10"/>
      <c r="L247" s="10"/>
    </row>
    <row r="248">
      <c r="A248" s="7" t="s">
        <v>246</v>
      </c>
      <c r="B248" s="10"/>
      <c r="C248" s="8">
        <f>+12018140123</f>
        <v>12018140123</v>
      </c>
      <c r="D248" s="7">
        <v>4.7</v>
      </c>
      <c r="E248" s="7">
        <v>31.0</v>
      </c>
      <c r="F248" s="9" t="s">
        <v>247</v>
      </c>
      <c r="G248" s="7" t="s">
        <v>243</v>
      </c>
      <c r="H248" s="7" t="s">
        <v>248</v>
      </c>
      <c r="I248" s="7" t="s">
        <v>23</v>
      </c>
      <c r="J248" s="7" t="s">
        <v>245</v>
      </c>
      <c r="K248" s="10"/>
      <c r="L248" s="10"/>
    </row>
    <row r="249">
      <c r="A249" s="7" t="s">
        <v>1133</v>
      </c>
      <c r="B249" s="9" t="s">
        <v>1134</v>
      </c>
      <c r="C249" s="8">
        <f>+12016410701</f>
        <v>12016410701</v>
      </c>
      <c r="D249" s="7">
        <v>4.9</v>
      </c>
      <c r="E249" s="7">
        <v>39.0</v>
      </c>
      <c r="F249" s="9" t="s">
        <v>1135</v>
      </c>
      <c r="G249" s="7" t="s">
        <v>243</v>
      </c>
      <c r="H249" s="7" t="s">
        <v>1136</v>
      </c>
      <c r="I249" s="7" t="s">
        <v>23</v>
      </c>
      <c r="J249" s="7" t="s">
        <v>145</v>
      </c>
      <c r="K249" s="10"/>
      <c r="L249" s="10"/>
    </row>
    <row r="250">
      <c r="A250" s="7" t="s">
        <v>249</v>
      </c>
      <c r="B250" s="10"/>
      <c r="C250" s="8">
        <f>+12016414495</f>
        <v>12016414495</v>
      </c>
      <c r="D250" s="7">
        <v>4.2</v>
      </c>
      <c r="E250" s="7">
        <v>17.0</v>
      </c>
      <c r="F250" s="9" t="s">
        <v>250</v>
      </c>
      <c r="G250" s="7" t="s">
        <v>243</v>
      </c>
      <c r="H250" s="7" t="s">
        <v>251</v>
      </c>
      <c r="I250" s="7" t="s">
        <v>44</v>
      </c>
      <c r="J250" s="7" t="s">
        <v>252</v>
      </c>
      <c r="K250" s="10"/>
      <c r="L250" s="10"/>
    </row>
    <row r="251">
      <c r="A251" s="7" t="s">
        <v>253</v>
      </c>
      <c r="B251" s="10"/>
      <c r="C251" s="8">
        <f>+12019454392</f>
        <v>12019454392</v>
      </c>
      <c r="D251" s="7">
        <v>4.9</v>
      </c>
      <c r="E251" s="7">
        <v>40.0</v>
      </c>
      <c r="F251" s="9" t="s">
        <v>254</v>
      </c>
      <c r="G251" s="7" t="s">
        <v>243</v>
      </c>
      <c r="H251" s="7" t="s">
        <v>255</v>
      </c>
      <c r="I251" s="7" t="s">
        <v>41</v>
      </c>
      <c r="J251" s="7" t="s">
        <v>256</v>
      </c>
      <c r="K251" s="10"/>
      <c r="L251" s="10"/>
    </row>
    <row r="252">
      <c r="A252" s="7" t="s">
        <v>257</v>
      </c>
      <c r="B252" s="10"/>
      <c r="C252" s="8">
        <f>+12014403365</f>
        <v>12014403365</v>
      </c>
      <c r="D252" s="7">
        <v>4.4</v>
      </c>
      <c r="E252" s="7">
        <v>13.0</v>
      </c>
      <c r="F252" s="9" t="s">
        <v>258</v>
      </c>
      <c r="G252" s="7" t="s">
        <v>243</v>
      </c>
      <c r="H252" s="7" t="s">
        <v>259</v>
      </c>
      <c r="I252" s="7" t="s">
        <v>44</v>
      </c>
      <c r="J252" s="7" t="s">
        <v>260</v>
      </c>
      <c r="K252" s="10"/>
      <c r="L252" s="10"/>
    </row>
    <row r="253">
      <c r="A253" s="7" t="s">
        <v>261</v>
      </c>
      <c r="B253" s="10"/>
      <c r="C253" s="8">
        <f>+12019418288</f>
        <v>12019418288</v>
      </c>
      <c r="D253" s="7">
        <v>5.0</v>
      </c>
      <c r="E253" s="7">
        <v>8.0</v>
      </c>
      <c r="F253" s="9" t="s">
        <v>262</v>
      </c>
      <c r="G253" s="7" t="s">
        <v>243</v>
      </c>
      <c r="H253" s="7" t="s">
        <v>263</v>
      </c>
      <c r="I253" s="7" t="s">
        <v>41</v>
      </c>
      <c r="J253" s="7" t="s">
        <v>264</v>
      </c>
      <c r="K253" s="10"/>
      <c r="L253" s="10"/>
    </row>
    <row r="254">
      <c r="A254" s="7" t="s">
        <v>1137</v>
      </c>
      <c r="B254" s="9" t="s">
        <v>1138</v>
      </c>
      <c r="C254" s="8">
        <f>+12014409377</f>
        <v>12014409377</v>
      </c>
      <c r="D254" s="7">
        <v>4.5</v>
      </c>
      <c r="E254" s="7">
        <v>33.0</v>
      </c>
      <c r="F254" s="9" t="s">
        <v>1139</v>
      </c>
      <c r="G254" s="7" t="s">
        <v>243</v>
      </c>
      <c r="H254" s="7" t="s">
        <v>1140</v>
      </c>
      <c r="I254" s="7" t="s">
        <v>23</v>
      </c>
      <c r="J254" s="7" t="s">
        <v>1141</v>
      </c>
      <c r="K254" s="10"/>
      <c r="L254" s="10"/>
    </row>
    <row r="255">
      <c r="A255" s="7" t="s">
        <v>265</v>
      </c>
      <c r="B255" s="10"/>
      <c r="C255" s="8">
        <f>+12014870334</f>
        <v>12014870334</v>
      </c>
      <c r="D255" s="7">
        <v>4.7</v>
      </c>
      <c r="E255" s="7">
        <v>71.0</v>
      </c>
      <c r="F255" s="9" t="s">
        <v>266</v>
      </c>
      <c r="G255" s="7" t="s">
        <v>243</v>
      </c>
      <c r="H255" s="7" t="s">
        <v>267</v>
      </c>
      <c r="I255" s="7" t="s">
        <v>28</v>
      </c>
      <c r="J255" s="7" t="s">
        <v>268</v>
      </c>
      <c r="K255" s="10"/>
      <c r="L255" s="10"/>
    </row>
    <row r="256">
      <c r="A256" s="7" t="s">
        <v>269</v>
      </c>
      <c r="B256" s="10"/>
      <c r="C256" s="8">
        <f>+12019417333</f>
        <v>12019417333</v>
      </c>
      <c r="D256" s="7">
        <v>4.7</v>
      </c>
      <c r="E256" s="7">
        <v>154.0</v>
      </c>
      <c r="F256" s="9" t="s">
        <v>270</v>
      </c>
      <c r="G256" s="7" t="s">
        <v>243</v>
      </c>
      <c r="H256" s="7" t="s">
        <v>271</v>
      </c>
      <c r="I256" s="7" t="s">
        <v>41</v>
      </c>
      <c r="J256" s="7" t="s">
        <v>272</v>
      </c>
      <c r="K256" s="10"/>
      <c r="L256" s="10"/>
    </row>
    <row r="257">
      <c r="A257" s="7" t="s">
        <v>1142</v>
      </c>
      <c r="B257" s="9" t="s">
        <v>1143</v>
      </c>
      <c r="C257" s="8">
        <f>+12015305900</f>
        <v>12015305900</v>
      </c>
      <c r="D257" s="7">
        <v>4.2</v>
      </c>
      <c r="E257" s="7">
        <v>108.0</v>
      </c>
      <c r="F257" s="9" t="s">
        <v>1144</v>
      </c>
      <c r="G257" s="7" t="s">
        <v>243</v>
      </c>
      <c r="H257" s="7" t="s">
        <v>1145</v>
      </c>
      <c r="I257" s="7" t="s">
        <v>32</v>
      </c>
      <c r="J257" s="7" t="s">
        <v>1146</v>
      </c>
      <c r="K257" s="10"/>
      <c r="L257" s="10"/>
    </row>
    <row r="258">
      <c r="A258" s="7" t="s">
        <v>1147</v>
      </c>
      <c r="B258" s="9" t="s">
        <v>1148</v>
      </c>
      <c r="C258" s="8">
        <f>+12013131155</f>
        <v>12013131155</v>
      </c>
      <c r="D258" s="7">
        <v>4.4</v>
      </c>
      <c r="E258" s="7">
        <v>191.0</v>
      </c>
      <c r="F258" s="9" t="s">
        <v>1149</v>
      </c>
      <c r="G258" s="7" t="s">
        <v>243</v>
      </c>
      <c r="H258" s="7" t="s">
        <v>1150</v>
      </c>
      <c r="I258" s="7" t="s">
        <v>41</v>
      </c>
      <c r="J258" s="7" t="s">
        <v>268</v>
      </c>
      <c r="K258" s="10"/>
      <c r="L258" s="10"/>
    </row>
    <row r="259">
      <c r="A259" s="7" t="s">
        <v>273</v>
      </c>
      <c r="B259" s="10"/>
      <c r="C259" s="8">
        <f>+12014020205</f>
        <v>12014020205</v>
      </c>
      <c r="D259" s="7">
        <v>4.7</v>
      </c>
      <c r="E259" s="7">
        <v>103.0</v>
      </c>
      <c r="F259" s="9" t="s">
        <v>274</v>
      </c>
      <c r="G259" s="7" t="s">
        <v>243</v>
      </c>
      <c r="H259" s="7" t="s">
        <v>275</v>
      </c>
      <c r="I259" s="7" t="s">
        <v>44</v>
      </c>
      <c r="J259" s="7" t="s">
        <v>268</v>
      </c>
      <c r="K259" s="10"/>
      <c r="L259" s="10"/>
    </row>
    <row r="260">
      <c r="A260" s="7" t="s">
        <v>276</v>
      </c>
      <c r="B260" s="10"/>
      <c r="C260" s="8">
        <f>+12013731470</f>
        <v>12013731470</v>
      </c>
      <c r="D260" s="7">
        <v>4.7</v>
      </c>
      <c r="E260" s="7">
        <v>16.0</v>
      </c>
      <c r="F260" s="9" t="s">
        <v>277</v>
      </c>
      <c r="G260" s="7" t="s">
        <v>243</v>
      </c>
      <c r="H260" s="7" t="s">
        <v>278</v>
      </c>
      <c r="I260" s="7" t="s">
        <v>44</v>
      </c>
      <c r="J260" s="7" t="s">
        <v>279</v>
      </c>
      <c r="K260" s="10"/>
      <c r="L260" s="10"/>
    </row>
    <row r="261">
      <c r="A261" s="7" t="s">
        <v>280</v>
      </c>
      <c r="B261" s="10"/>
      <c r="C261" s="8">
        <f>+12019431155</f>
        <v>12019431155</v>
      </c>
      <c r="D261" s="7">
        <v>4.7</v>
      </c>
      <c r="E261" s="7">
        <v>120.0</v>
      </c>
      <c r="F261" s="9" t="s">
        <v>281</v>
      </c>
      <c r="G261" s="7" t="s">
        <v>282</v>
      </c>
      <c r="H261" s="7" t="s">
        <v>283</v>
      </c>
      <c r="I261" s="7" t="s">
        <v>87</v>
      </c>
      <c r="J261" s="7" t="s">
        <v>284</v>
      </c>
      <c r="K261" s="10"/>
      <c r="L261" s="10"/>
    </row>
    <row r="262">
      <c r="A262" s="7" t="s">
        <v>285</v>
      </c>
      <c r="B262" s="10"/>
      <c r="C262" s="8">
        <f>+17866263627</f>
        <v>17866263627</v>
      </c>
      <c r="D262" s="7">
        <v>5.0</v>
      </c>
      <c r="E262" s="7">
        <v>1.0</v>
      </c>
      <c r="F262" s="9" t="s">
        <v>286</v>
      </c>
      <c r="G262" s="7" t="s">
        <v>243</v>
      </c>
      <c r="H262" s="7" t="s">
        <v>287</v>
      </c>
      <c r="I262" s="7" t="s">
        <v>51</v>
      </c>
      <c r="J262" s="7" t="s">
        <v>37</v>
      </c>
      <c r="K262" s="10"/>
      <c r="L262" s="10"/>
    </row>
    <row r="263">
      <c r="A263" s="7" t="s">
        <v>288</v>
      </c>
      <c r="B263" s="10"/>
      <c r="C263" s="8">
        <f>+12019418486</f>
        <v>12019418486</v>
      </c>
      <c r="D263" s="7">
        <v>4.7</v>
      </c>
      <c r="E263" s="7">
        <v>26.0</v>
      </c>
      <c r="F263" s="9" t="s">
        <v>289</v>
      </c>
      <c r="G263" s="7" t="s">
        <v>243</v>
      </c>
      <c r="H263" s="7" t="s">
        <v>290</v>
      </c>
      <c r="I263" s="7" t="s">
        <v>41</v>
      </c>
      <c r="J263" s="7" t="s">
        <v>291</v>
      </c>
      <c r="K263" s="10"/>
      <c r="L263" s="10"/>
    </row>
    <row r="264">
      <c r="A264" s="7" t="s">
        <v>292</v>
      </c>
      <c r="B264" s="10"/>
      <c r="C264" s="8">
        <f>+12015920009</f>
        <v>12015920009</v>
      </c>
      <c r="D264" s="7">
        <v>3.5</v>
      </c>
      <c r="E264" s="7">
        <v>187.0</v>
      </c>
      <c r="F264" s="9" t="s">
        <v>293</v>
      </c>
      <c r="G264" s="7" t="s">
        <v>243</v>
      </c>
      <c r="H264" s="7" t="s">
        <v>294</v>
      </c>
      <c r="I264" s="7" t="s">
        <v>87</v>
      </c>
      <c r="J264" s="7" t="s">
        <v>295</v>
      </c>
      <c r="K264" s="10"/>
      <c r="L264" s="10"/>
    </row>
    <row r="265">
      <c r="A265" s="7" t="s">
        <v>296</v>
      </c>
      <c r="B265" s="10"/>
      <c r="C265" s="8">
        <f>+12014824113</f>
        <v>12014824113</v>
      </c>
      <c r="D265" s="7">
        <v>4.7</v>
      </c>
      <c r="E265" s="7">
        <v>189.0</v>
      </c>
      <c r="F265" s="9" t="s">
        <v>297</v>
      </c>
      <c r="G265" s="7" t="s">
        <v>243</v>
      </c>
      <c r="H265" s="7" t="s">
        <v>298</v>
      </c>
      <c r="I265" s="7" t="s">
        <v>87</v>
      </c>
      <c r="J265" s="7" t="s">
        <v>268</v>
      </c>
      <c r="K265" s="10"/>
      <c r="L265" s="10"/>
    </row>
    <row r="266">
      <c r="A266" s="7" t="s">
        <v>1151</v>
      </c>
      <c r="B266" s="9" t="s">
        <v>1152</v>
      </c>
      <c r="C266" s="8">
        <f>+12014880334</f>
        <v>12014880334</v>
      </c>
      <c r="D266" s="7">
        <v>4.5</v>
      </c>
      <c r="E266" s="7">
        <v>145.0</v>
      </c>
      <c r="F266" s="9" t="s">
        <v>1153</v>
      </c>
      <c r="G266" s="7" t="s">
        <v>243</v>
      </c>
      <c r="H266" s="7" t="s">
        <v>1154</v>
      </c>
      <c r="I266" s="7" t="s">
        <v>28</v>
      </c>
      <c r="J266" s="7" t="s">
        <v>317</v>
      </c>
      <c r="K266" s="10"/>
      <c r="L266" s="10"/>
    </row>
    <row r="267">
      <c r="A267" s="7" t="s">
        <v>299</v>
      </c>
      <c r="B267" s="10"/>
      <c r="C267" s="8">
        <f>+12019432878</f>
        <v>12019432878</v>
      </c>
      <c r="D267" s="7">
        <v>4.4</v>
      </c>
      <c r="E267" s="7">
        <v>40.0</v>
      </c>
      <c r="F267" s="9" t="s">
        <v>300</v>
      </c>
      <c r="G267" s="7" t="s">
        <v>243</v>
      </c>
      <c r="H267" s="7" t="s">
        <v>301</v>
      </c>
      <c r="I267" s="7" t="s">
        <v>41</v>
      </c>
      <c r="J267" s="7" t="s">
        <v>302</v>
      </c>
      <c r="K267" s="10"/>
      <c r="L267" s="10"/>
    </row>
    <row r="268">
      <c r="A268" s="7" t="s">
        <v>303</v>
      </c>
      <c r="B268" s="10"/>
      <c r="C268" s="8">
        <f>+12014402625</f>
        <v>12014402625</v>
      </c>
      <c r="D268" s="7">
        <v>4.1</v>
      </c>
      <c r="E268" s="7">
        <v>36.0</v>
      </c>
      <c r="F268" s="9" t="s">
        <v>304</v>
      </c>
      <c r="G268" s="7" t="s">
        <v>282</v>
      </c>
      <c r="H268" s="7" t="s">
        <v>305</v>
      </c>
      <c r="I268" s="7" t="s">
        <v>23</v>
      </c>
      <c r="J268" s="7" t="s">
        <v>37</v>
      </c>
      <c r="K268" s="10"/>
      <c r="L268" s="10"/>
    </row>
    <row r="269">
      <c r="A269" s="7" t="s">
        <v>1155</v>
      </c>
      <c r="B269" s="9" t="s">
        <v>1156</v>
      </c>
      <c r="C269" s="8">
        <f>+12013432602</f>
        <v>12013432602</v>
      </c>
      <c r="D269" s="7">
        <v>4.5</v>
      </c>
      <c r="E269" s="7">
        <v>238.0</v>
      </c>
      <c r="F269" s="9" t="s">
        <v>1157</v>
      </c>
      <c r="G269" s="7" t="s">
        <v>243</v>
      </c>
      <c r="H269" s="7" t="s">
        <v>1158</v>
      </c>
      <c r="I269" s="7" t="s">
        <v>28</v>
      </c>
      <c r="J269" s="7" t="s">
        <v>260</v>
      </c>
      <c r="K269" s="10"/>
      <c r="L269" s="10"/>
    </row>
    <row r="270">
      <c r="A270" s="7" t="s">
        <v>306</v>
      </c>
      <c r="B270" s="10"/>
      <c r="C270" s="8">
        <f>+12016018480</f>
        <v>12016018480</v>
      </c>
      <c r="D270" s="7">
        <v>4.8</v>
      </c>
      <c r="E270" s="7">
        <v>276.0</v>
      </c>
      <c r="F270" s="9" t="s">
        <v>307</v>
      </c>
      <c r="G270" s="7" t="s">
        <v>243</v>
      </c>
      <c r="H270" s="7" t="s">
        <v>308</v>
      </c>
      <c r="I270" s="7" t="s">
        <v>309</v>
      </c>
      <c r="J270" s="7" t="s">
        <v>260</v>
      </c>
      <c r="K270" s="10"/>
      <c r="L270" s="10"/>
    </row>
    <row r="271">
      <c r="A271" s="7" t="s">
        <v>310</v>
      </c>
      <c r="B271" s="10"/>
      <c r="C271" s="8">
        <f>+12012290038</f>
        <v>12012290038</v>
      </c>
      <c r="D271" s="7">
        <v>4.9</v>
      </c>
      <c r="E271" s="7">
        <v>110.0</v>
      </c>
      <c r="F271" s="9" t="s">
        <v>311</v>
      </c>
      <c r="G271" s="7" t="s">
        <v>243</v>
      </c>
      <c r="H271" s="7" t="s">
        <v>312</v>
      </c>
      <c r="I271" s="7" t="s">
        <v>44</v>
      </c>
      <c r="J271" s="7" t="s">
        <v>313</v>
      </c>
      <c r="K271" s="10"/>
      <c r="L271" s="10"/>
    </row>
    <row r="272">
      <c r="A272" s="7" t="s">
        <v>1159</v>
      </c>
      <c r="B272" s="9" t="s">
        <v>1160</v>
      </c>
      <c r="C272" s="8">
        <f>+12018363397</f>
        <v>12018363397</v>
      </c>
      <c r="D272" s="7">
        <v>4.6</v>
      </c>
      <c r="E272" s="7">
        <v>11.0</v>
      </c>
      <c r="F272" s="9" t="s">
        <v>1161</v>
      </c>
      <c r="G272" s="7" t="s">
        <v>243</v>
      </c>
      <c r="H272" s="7" t="s">
        <v>1162</v>
      </c>
      <c r="I272" s="7" t="s">
        <v>32</v>
      </c>
      <c r="J272" s="7" t="s">
        <v>748</v>
      </c>
      <c r="K272" s="10"/>
      <c r="L272" s="10"/>
    </row>
    <row r="273">
      <c r="A273" s="7" t="s">
        <v>314</v>
      </c>
      <c r="B273" s="10"/>
      <c r="C273" s="8">
        <f>+12019438008</f>
        <v>12019438008</v>
      </c>
      <c r="D273" s="7">
        <v>4.6</v>
      </c>
      <c r="E273" s="7">
        <v>28.0</v>
      </c>
      <c r="F273" s="9" t="s">
        <v>315</v>
      </c>
      <c r="G273" s="7" t="s">
        <v>243</v>
      </c>
      <c r="H273" s="7" t="s">
        <v>316</v>
      </c>
      <c r="I273" s="7" t="s">
        <v>56</v>
      </c>
      <c r="J273" s="7" t="s">
        <v>317</v>
      </c>
      <c r="K273" s="10"/>
      <c r="L273" s="10"/>
    </row>
    <row r="274">
      <c r="A274" s="7" t="s">
        <v>1163</v>
      </c>
      <c r="B274" s="9" t="s">
        <v>1164</v>
      </c>
      <c r="C274" s="8">
        <f>+12018405133</f>
        <v>12018405133</v>
      </c>
      <c r="D274" s="7">
        <v>4.8</v>
      </c>
      <c r="E274" s="7">
        <v>268.0</v>
      </c>
      <c r="F274" s="9" t="s">
        <v>1165</v>
      </c>
      <c r="G274" s="7" t="s">
        <v>243</v>
      </c>
      <c r="H274" s="7" t="s">
        <v>1166</v>
      </c>
      <c r="I274" s="7" t="s">
        <v>120</v>
      </c>
      <c r="J274" s="7" t="s">
        <v>302</v>
      </c>
      <c r="K274" s="10"/>
      <c r="L274" s="10"/>
    </row>
    <row r="275">
      <c r="A275" s="7" t="s">
        <v>318</v>
      </c>
      <c r="B275" s="10"/>
      <c r="C275" s="8">
        <f>+12014400937</f>
        <v>12014400937</v>
      </c>
      <c r="D275" s="7">
        <v>3.8</v>
      </c>
      <c r="E275" s="7">
        <v>13.0</v>
      </c>
      <c r="F275" s="9" t="s">
        <v>319</v>
      </c>
      <c r="G275" s="7" t="s">
        <v>320</v>
      </c>
      <c r="H275" s="7" t="s">
        <v>321</v>
      </c>
      <c r="I275" s="7" t="s">
        <v>23</v>
      </c>
      <c r="J275" s="7" t="s">
        <v>322</v>
      </c>
      <c r="K275" s="10"/>
      <c r="L275" s="10"/>
    </row>
  </sheetData>
  <autoFilter ref="$A$1:$Z$275"/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F8"/>
    <hyperlink r:id="rId14" ref="B9"/>
    <hyperlink r:id="rId15" ref="F9"/>
    <hyperlink r:id="rId16" ref="B10"/>
    <hyperlink r:id="rId17" ref="F10"/>
    <hyperlink r:id="rId18" ref="B11"/>
    <hyperlink r:id="rId19" ref="F11"/>
    <hyperlink r:id="rId20" ref="B12"/>
    <hyperlink r:id="rId21" ref="F12"/>
    <hyperlink r:id="rId22" ref="B13"/>
    <hyperlink r:id="rId23" ref="F13"/>
    <hyperlink r:id="rId24" ref="B14"/>
    <hyperlink r:id="rId25" ref="F14"/>
    <hyperlink r:id="rId26" ref="F15"/>
    <hyperlink r:id="rId27" ref="B16"/>
    <hyperlink r:id="rId28" ref="F16"/>
    <hyperlink r:id="rId29" ref="B17"/>
    <hyperlink r:id="rId30" ref="F17"/>
    <hyperlink r:id="rId31" ref="B18"/>
    <hyperlink r:id="rId32" ref="F18"/>
    <hyperlink r:id="rId33" ref="B19"/>
    <hyperlink r:id="rId34" ref="F19"/>
    <hyperlink r:id="rId35" ref="F20"/>
    <hyperlink r:id="rId36" ref="B21"/>
    <hyperlink r:id="rId37" ref="F21"/>
    <hyperlink r:id="rId38" ref="B22"/>
    <hyperlink r:id="rId39" ref="F22"/>
    <hyperlink r:id="rId40" ref="B23"/>
    <hyperlink r:id="rId41" ref="F23"/>
    <hyperlink r:id="rId42" ref="B24"/>
    <hyperlink r:id="rId43" ref="F24"/>
    <hyperlink r:id="rId44" ref="B25"/>
    <hyperlink r:id="rId45" ref="F25"/>
    <hyperlink r:id="rId46" ref="B26"/>
    <hyperlink r:id="rId47" ref="F26"/>
    <hyperlink r:id="rId48" ref="B27"/>
    <hyperlink r:id="rId49" ref="F27"/>
    <hyperlink r:id="rId50" ref="B28"/>
    <hyperlink r:id="rId51" ref="F28"/>
    <hyperlink r:id="rId52" ref="B29"/>
    <hyperlink r:id="rId53" ref="F29"/>
    <hyperlink r:id="rId54" ref="B30"/>
    <hyperlink r:id="rId55" ref="F30"/>
    <hyperlink r:id="rId56" ref="B31"/>
    <hyperlink r:id="rId57" ref="F31"/>
    <hyperlink r:id="rId58" ref="B32"/>
    <hyperlink r:id="rId59" ref="F32"/>
    <hyperlink r:id="rId60" ref="B33"/>
    <hyperlink r:id="rId61" ref="F33"/>
    <hyperlink r:id="rId62" ref="F34"/>
    <hyperlink r:id="rId63" ref="F35"/>
    <hyperlink r:id="rId64" ref="B36"/>
    <hyperlink r:id="rId65" ref="F36"/>
    <hyperlink r:id="rId66" ref="B37"/>
    <hyperlink r:id="rId67" ref="F37"/>
    <hyperlink r:id="rId68" ref="B38"/>
    <hyperlink r:id="rId69" ref="F38"/>
    <hyperlink r:id="rId70" ref="F39"/>
    <hyperlink r:id="rId71" ref="B40"/>
    <hyperlink r:id="rId72" ref="F40"/>
    <hyperlink r:id="rId73" ref="F41"/>
    <hyperlink r:id="rId74" ref="B42"/>
    <hyperlink r:id="rId75" ref="F42"/>
    <hyperlink r:id="rId76" ref="B43"/>
    <hyperlink r:id="rId77" ref="F43"/>
    <hyperlink r:id="rId78" ref="B44"/>
    <hyperlink r:id="rId79" ref="F44"/>
    <hyperlink r:id="rId80" ref="B45"/>
    <hyperlink r:id="rId81" ref="F45"/>
    <hyperlink r:id="rId82" ref="F46"/>
    <hyperlink r:id="rId83" ref="F47"/>
    <hyperlink r:id="rId84" ref="F48"/>
    <hyperlink r:id="rId85" ref="B49"/>
    <hyperlink r:id="rId86" ref="F49"/>
    <hyperlink r:id="rId87" ref="B50"/>
    <hyperlink r:id="rId88" ref="F50"/>
    <hyperlink r:id="rId89" ref="B51"/>
    <hyperlink r:id="rId90" ref="F51"/>
    <hyperlink r:id="rId91" ref="B52"/>
    <hyperlink r:id="rId92" ref="F52"/>
    <hyperlink r:id="rId93" ref="B53"/>
    <hyperlink r:id="rId94" ref="F53"/>
    <hyperlink r:id="rId95" ref="B54"/>
    <hyperlink r:id="rId96" ref="F54"/>
    <hyperlink r:id="rId97" ref="F55"/>
    <hyperlink r:id="rId98" ref="F56"/>
    <hyperlink r:id="rId99" ref="B57"/>
    <hyperlink r:id="rId100" ref="F57"/>
    <hyperlink r:id="rId101" ref="B58"/>
    <hyperlink r:id="rId102" ref="F58"/>
    <hyperlink r:id="rId103" ref="B59"/>
    <hyperlink r:id="rId104" ref="F59"/>
    <hyperlink r:id="rId105" ref="B60"/>
    <hyperlink r:id="rId106" ref="F60"/>
    <hyperlink r:id="rId107" ref="F61"/>
    <hyperlink r:id="rId108" ref="F62"/>
    <hyperlink r:id="rId109" ref="B63"/>
    <hyperlink r:id="rId110" ref="F63"/>
    <hyperlink r:id="rId111" ref="B64"/>
    <hyperlink r:id="rId112" ref="F64"/>
    <hyperlink r:id="rId113" ref="F65"/>
    <hyperlink r:id="rId114" ref="B66"/>
    <hyperlink r:id="rId115" ref="F66"/>
    <hyperlink r:id="rId116" ref="B67"/>
    <hyperlink r:id="rId117" ref="F67"/>
    <hyperlink r:id="rId118" ref="B68"/>
    <hyperlink r:id="rId119" ref="F68"/>
    <hyperlink r:id="rId120" ref="F69"/>
    <hyperlink r:id="rId121" ref="B70"/>
    <hyperlink r:id="rId122" ref="F70"/>
    <hyperlink r:id="rId123" ref="B71"/>
    <hyperlink r:id="rId124" ref="F71"/>
    <hyperlink r:id="rId125" ref="B72"/>
    <hyperlink r:id="rId126" ref="F72"/>
    <hyperlink r:id="rId127" ref="F73"/>
    <hyperlink r:id="rId128" ref="B74"/>
    <hyperlink r:id="rId129" ref="F74"/>
    <hyperlink r:id="rId130" ref="F75"/>
    <hyperlink r:id="rId131" ref="B76"/>
    <hyperlink r:id="rId132" ref="F76"/>
    <hyperlink r:id="rId133" ref="F77"/>
    <hyperlink r:id="rId134" ref="B78"/>
    <hyperlink r:id="rId135" ref="F78"/>
    <hyperlink r:id="rId136" ref="B79"/>
    <hyperlink r:id="rId137" ref="F79"/>
    <hyperlink r:id="rId138" ref="B80"/>
    <hyperlink r:id="rId139" ref="F80"/>
    <hyperlink r:id="rId140" ref="F81"/>
    <hyperlink r:id="rId141" ref="B82"/>
    <hyperlink r:id="rId142" ref="F82"/>
    <hyperlink r:id="rId143" ref="F83"/>
    <hyperlink r:id="rId144" ref="B84"/>
    <hyperlink r:id="rId145" ref="F84"/>
    <hyperlink r:id="rId146" ref="F85"/>
    <hyperlink r:id="rId147" ref="F86"/>
    <hyperlink r:id="rId148" ref="F87"/>
    <hyperlink r:id="rId149" ref="F88"/>
    <hyperlink r:id="rId150" ref="B89"/>
    <hyperlink r:id="rId151" ref="F89"/>
    <hyperlink r:id="rId152" ref="B90"/>
    <hyperlink r:id="rId153" ref="F90"/>
    <hyperlink r:id="rId154" ref="B91"/>
    <hyperlink r:id="rId155" ref="F91"/>
    <hyperlink r:id="rId156" ref="F92"/>
    <hyperlink r:id="rId157" ref="B93"/>
    <hyperlink r:id="rId158" ref="F93"/>
    <hyperlink r:id="rId159" ref="B94"/>
    <hyperlink r:id="rId160" ref="F94"/>
    <hyperlink r:id="rId161" ref="B95"/>
    <hyperlink r:id="rId162" ref="F95"/>
    <hyperlink r:id="rId163" ref="B96"/>
    <hyperlink r:id="rId164" ref="F96"/>
    <hyperlink r:id="rId165" ref="F97"/>
    <hyperlink r:id="rId166" ref="F98"/>
    <hyperlink r:id="rId167" ref="B99"/>
    <hyperlink r:id="rId168" ref="F99"/>
    <hyperlink r:id="rId169" ref="B100"/>
    <hyperlink r:id="rId170" ref="F100"/>
    <hyperlink r:id="rId171" ref="B101"/>
    <hyperlink r:id="rId172" ref="F101"/>
    <hyperlink r:id="rId173" ref="B102"/>
    <hyperlink r:id="rId174" ref="F102"/>
    <hyperlink r:id="rId175" ref="B103"/>
    <hyperlink r:id="rId176" ref="F103"/>
    <hyperlink r:id="rId177" ref="B104"/>
    <hyperlink r:id="rId178" ref="F104"/>
    <hyperlink r:id="rId179" ref="F105"/>
    <hyperlink r:id="rId180" ref="F106"/>
    <hyperlink r:id="rId181" ref="F107"/>
    <hyperlink r:id="rId182" ref="F108"/>
    <hyperlink r:id="rId183" ref="B109"/>
    <hyperlink r:id="rId184" ref="F109"/>
    <hyperlink r:id="rId185" ref="F110"/>
    <hyperlink r:id="rId186" ref="F111"/>
    <hyperlink r:id="rId187" ref="B112"/>
    <hyperlink r:id="rId188" ref="F112"/>
    <hyperlink r:id="rId189" ref="B113"/>
    <hyperlink r:id="rId190" ref="F113"/>
    <hyperlink r:id="rId191" ref="B114"/>
    <hyperlink r:id="rId192" ref="F114"/>
    <hyperlink r:id="rId193" ref="B115"/>
    <hyperlink r:id="rId194" ref="F115"/>
    <hyperlink r:id="rId195" ref="B116"/>
    <hyperlink r:id="rId196" ref="F116"/>
    <hyperlink r:id="rId197" ref="F117"/>
    <hyperlink r:id="rId198" ref="B118"/>
    <hyperlink r:id="rId199" ref="F118"/>
    <hyperlink r:id="rId200" ref="F119"/>
    <hyperlink r:id="rId201" ref="B120"/>
    <hyperlink r:id="rId202" ref="F120"/>
    <hyperlink r:id="rId203" ref="B121"/>
    <hyperlink r:id="rId204" ref="F121"/>
    <hyperlink r:id="rId205" ref="B122"/>
    <hyperlink r:id="rId206" ref="F122"/>
    <hyperlink r:id="rId207" ref="B123"/>
    <hyperlink r:id="rId208" ref="F123"/>
    <hyperlink r:id="rId209" ref="B124"/>
    <hyperlink r:id="rId210" ref="F124"/>
    <hyperlink r:id="rId211" ref="B125"/>
    <hyperlink r:id="rId212" ref="F125"/>
    <hyperlink r:id="rId213" ref="B126"/>
    <hyperlink r:id="rId214" ref="F126"/>
    <hyperlink r:id="rId215" ref="F127"/>
    <hyperlink r:id="rId216" ref="B128"/>
    <hyperlink r:id="rId217" ref="F128"/>
    <hyperlink r:id="rId218" ref="B129"/>
    <hyperlink r:id="rId219" ref="F129"/>
    <hyperlink r:id="rId220" ref="B130"/>
    <hyperlink r:id="rId221" ref="F130"/>
    <hyperlink r:id="rId222" ref="B131"/>
    <hyperlink r:id="rId223" ref="F131"/>
    <hyperlink r:id="rId224" ref="F132"/>
    <hyperlink r:id="rId225" ref="B133"/>
    <hyperlink r:id="rId226" ref="F133"/>
    <hyperlink r:id="rId227" ref="F134"/>
    <hyperlink r:id="rId228" ref="B135"/>
    <hyperlink r:id="rId229" ref="F135"/>
    <hyperlink r:id="rId230" ref="B136"/>
    <hyperlink r:id="rId231" ref="F136"/>
    <hyperlink r:id="rId232" ref="B137"/>
    <hyperlink r:id="rId233" ref="F137"/>
    <hyperlink r:id="rId234" ref="B138"/>
    <hyperlink r:id="rId235" ref="F138"/>
    <hyperlink r:id="rId236" ref="B139"/>
    <hyperlink r:id="rId237" ref="F139"/>
    <hyperlink r:id="rId238" ref="B140"/>
    <hyperlink r:id="rId239" ref="F140"/>
    <hyperlink r:id="rId240" ref="B141"/>
    <hyperlink r:id="rId241" ref="F141"/>
    <hyperlink r:id="rId242" ref="B142"/>
    <hyperlink r:id="rId243" ref="F142"/>
    <hyperlink r:id="rId244" ref="B143"/>
    <hyperlink r:id="rId245" ref="F143"/>
    <hyperlink r:id="rId246" ref="B144"/>
    <hyperlink r:id="rId247" ref="F144"/>
    <hyperlink r:id="rId248" ref="B145"/>
    <hyperlink r:id="rId249" ref="F145"/>
    <hyperlink r:id="rId250" ref="B146"/>
    <hyperlink r:id="rId251" ref="F146"/>
    <hyperlink r:id="rId252" ref="B147"/>
    <hyperlink r:id="rId253" ref="F147"/>
    <hyperlink r:id="rId254" ref="B148"/>
    <hyperlink r:id="rId255" ref="F148"/>
    <hyperlink r:id="rId256" ref="B149"/>
    <hyperlink r:id="rId257" ref="F149"/>
    <hyperlink r:id="rId258" ref="B150"/>
    <hyperlink r:id="rId259" ref="F150"/>
    <hyperlink r:id="rId260" ref="B151"/>
    <hyperlink r:id="rId261" ref="F151"/>
    <hyperlink r:id="rId262" ref="B152"/>
    <hyperlink r:id="rId263" ref="F152"/>
    <hyperlink r:id="rId264" ref="F153"/>
    <hyperlink r:id="rId265" ref="B154"/>
    <hyperlink r:id="rId266" ref="F154"/>
    <hyperlink r:id="rId267" ref="F155"/>
    <hyperlink r:id="rId268" ref="B156"/>
    <hyperlink r:id="rId269" ref="F156"/>
    <hyperlink r:id="rId270" ref="B157"/>
    <hyperlink r:id="rId271" ref="F157"/>
    <hyperlink r:id="rId272" ref="B158"/>
    <hyperlink r:id="rId273" ref="F158"/>
    <hyperlink r:id="rId274" ref="B159"/>
    <hyperlink r:id="rId275" ref="F159"/>
    <hyperlink r:id="rId276" ref="F160"/>
    <hyperlink r:id="rId277" ref="F161"/>
    <hyperlink r:id="rId278" ref="B162"/>
    <hyperlink r:id="rId279" ref="F162"/>
    <hyperlink r:id="rId280" ref="B163"/>
    <hyperlink r:id="rId281" ref="F163"/>
    <hyperlink r:id="rId282" ref="B164"/>
    <hyperlink r:id="rId283" ref="F164"/>
    <hyperlink r:id="rId284" ref="B165"/>
    <hyperlink r:id="rId285" ref="F165"/>
    <hyperlink r:id="rId286" ref="B166"/>
    <hyperlink r:id="rId287" ref="F166"/>
    <hyperlink r:id="rId288" ref="B167"/>
    <hyperlink r:id="rId289" ref="F167"/>
    <hyperlink r:id="rId290" ref="B168"/>
    <hyperlink r:id="rId291" ref="F168"/>
    <hyperlink r:id="rId292" ref="B169"/>
    <hyperlink r:id="rId293" ref="F169"/>
    <hyperlink r:id="rId294" ref="F170"/>
    <hyperlink r:id="rId295" ref="B171"/>
    <hyperlink r:id="rId296" ref="F171"/>
    <hyperlink r:id="rId297" ref="B172"/>
    <hyperlink r:id="rId298" ref="F172"/>
    <hyperlink r:id="rId299" ref="B173"/>
    <hyperlink r:id="rId300" ref="F173"/>
    <hyperlink r:id="rId301" ref="B174"/>
    <hyperlink r:id="rId302" ref="F174"/>
    <hyperlink r:id="rId303" ref="F175"/>
    <hyperlink r:id="rId304" ref="F176"/>
    <hyperlink r:id="rId305" ref="B177"/>
    <hyperlink r:id="rId306" ref="F177"/>
    <hyperlink r:id="rId307" ref="B178"/>
    <hyperlink r:id="rId308" ref="F178"/>
    <hyperlink r:id="rId309" ref="B179"/>
    <hyperlink r:id="rId310" ref="F179"/>
    <hyperlink r:id="rId311" ref="B180"/>
    <hyperlink r:id="rId312" ref="F180"/>
    <hyperlink r:id="rId313" ref="B181"/>
    <hyperlink r:id="rId314" ref="F181"/>
    <hyperlink r:id="rId315" ref="B182"/>
    <hyperlink r:id="rId316" ref="F182"/>
    <hyperlink r:id="rId317" ref="F183"/>
    <hyperlink r:id="rId318" ref="B184"/>
    <hyperlink r:id="rId319" ref="F184"/>
    <hyperlink r:id="rId320" ref="B185"/>
    <hyperlink r:id="rId321" ref="F185"/>
    <hyperlink r:id="rId322" ref="B186"/>
    <hyperlink r:id="rId323" ref="F186"/>
    <hyperlink r:id="rId324" ref="B187"/>
    <hyperlink r:id="rId325" ref="F187"/>
    <hyperlink r:id="rId326" ref="B188"/>
    <hyperlink r:id="rId327" ref="F188"/>
    <hyperlink r:id="rId328" ref="B189"/>
    <hyperlink r:id="rId329" ref="F189"/>
    <hyperlink r:id="rId330" ref="B190"/>
    <hyperlink r:id="rId331" ref="F190"/>
    <hyperlink r:id="rId332" ref="B191"/>
    <hyperlink r:id="rId333" ref="F191"/>
    <hyperlink r:id="rId334" ref="B192"/>
    <hyperlink r:id="rId335" ref="F192"/>
    <hyperlink r:id="rId336" ref="F193"/>
    <hyperlink r:id="rId337" ref="F194"/>
    <hyperlink r:id="rId338" ref="B195"/>
    <hyperlink r:id="rId339" ref="F195"/>
    <hyperlink r:id="rId340" ref="B196"/>
    <hyperlink r:id="rId341" ref="F196"/>
    <hyperlink r:id="rId342" ref="F197"/>
    <hyperlink r:id="rId343" ref="F198"/>
    <hyperlink r:id="rId344" ref="B199"/>
    <hyperlink r:id="rId345" ref="F199"/>
    <hyperlink r:id="rId346" ref="F200"/>
    <hyperlink r:id="rId347" ref="F201"/>
    <hyperlink r:id="rId348" ref="B202"/>
    <hyperlink r:id="rId349" ref="F202"/>
    <hyperlink r:id="rId350" ref="B203"/>
    <hyperlink r:id="rId351" ref="F203"/>
    <hyperlink r:id="rId352" ref="F204"/>
    <hyperlink r:id="rId353" ref="B205"/>
    <hyperlink r:id="rId354" ref="F205"/>
    <hyperlink r:id="rId355" ref="B206"/>
    <hyperlink r:id="rId356" ref="F206"/>
    <hyperlink r:id="rId357" ref="F207"/>
    <hyperlink r:id="rId358" ref="B208"/>
    <hyperlink r:id="rId359" ref="F208"/>
    <hyperlink r:id="rId360" ref="B209"/>
    <hyperlink r:id="rId361" ref="F209"/>
    <hyperlink r:id="rId362" ref="F210"/>
    <hyperlink r:id="rId363" ref="F211"/>
    <hyperlink r:id="rId364" ref="F212"/>
    <hyperlink r:id="rId365" ref="B213"/>
    <hyperlink r:id="rId366" ref="F213"/>
    <hyperlink r:id="rId367" ref="B214"/>
    <hyperlink r:id="rId368" ref="F214"/>
    <hyperlink r:id="rId369" ref="B215"/>
    <hyperlink r:id="rId370" ref="F215"/>
    <hyperlink r:id="rId371" ref="B216"/>
    <hyperlink r:id="rId372" ref="F216"/>
    <hyperlink r:id="rId373" ref="B217"/>
    <hyperlink r:id="rId374" ref="F217"/>
    <hyperlink r:id="rId375" ref="B218"/>
    <hyperlink r:id="rId376" ref="F218"/>
    <hyperlink r:id="rId377" ref="B219"/>
    <hyperlink r:id="rId378" ref="F219"/>
    <hyperlink r:id="rId379" ref="B220"/>
    <hyperlink r:id="rId380" ref="F220"/>
    <hyperlink r:id="rId381" ref="B221"/>
    <hyperlink r:id="rId382" ref="F221"/>
    <hyperlink r:id="rId383" ref="B222"/>
    <hyperlink r:id="rId384" ref="F222"/>
    <hyperlink r:id="rId385" ref="B223"/>
    <hyperlink r:id="rId386" ref="F223"/>
    <hyperlink r:id="rId387" ref="B224"/>
    <hyperlink r:id="rId388" ref="F224"/>
    <hyperlink r:id="rId389" ref="B225"/>
    <hyperlink r:id="rId390" ref="F225"/>
    <hyperlink r:id="rId391" ref="B226"/>
    <hyperlink r:id="rId392" ref="F226"/>
    <hyperlink r:id="rId393" ref="B227"/>
    <hyperlink r:id="rId394" ref="F227"/>
    <hyperlink r:id="rId395" ref="B228"/>
    <hyperlink r:id="rId396" ref="F228"/>
    <hyperlink r:id="rId397" ref="B229"/>
    <hyperlink r:id="rId398" ref="F229"/>
    <hyperlink r:id="rId399" ref="B230"/>
    <hyperlink r:id="rId400" ref="F230"/>
    <hyperlink r:id="rId401" ref="B231"/>
    <hyperlink r:id="rId402" ref="F231"/>
    <hyperlink r:id="rId403" ref="B232"/>
    <hyperlink r:id="rId404" ref="F232"/>
    <hyperlink r:id="rId405" ref="B233"/>
    <hyperlink r:id="rId406" ref="F233"/>
    <hyperlink r:id="rId407" ref="B234"/>
    <hyperlink r:id="rId408" ref="F234"/>
    <hyperlink r:id="rId409" ref="F235"/>
    <hyperlink r:id="rId410" ref="B236"/>
    <hyperlink r:id="rId411" ref="F236"/>
    <hyperlink r:id="rId412" ref="B237"/>
    <hyperlink r:id="rId413" ref="F237"/>
    <hyperlink r:id="rId414" ref="B238"/>
    <hyperlink r:id="rId415" ref="F238"/>
    <hyperlink r:id="rId416" ref="B239"/>
    <hyperlink r:id="rId417" ref="F239"/>
    <hyperlink r:id="rId418" ref="B240"/>
    <hyperlink r:id="rId419" ref="F240"/>
    <hyperlink r:id="rId420" ref="B241"/>
    <hyperlink r:id="rId421" ref="F241"/>
    <hyperlink r:id="rId422" ref="F242"/>
    <hyperlink r:id="rId423" ref="F243"/>
    <hyperlink r:id="rId424" ref="F244"/>
    <hyperlink r:id="rId425" ref="B245"/>
    <hyperlink r:id="rId426" ref="F245"/>
    <hyperlink r:id="rId427" ref="B246"/>
    <hyperlink r:id="rId428" ref="F246"/>
    <hyperlink r:id="rId429" ref="F247"/>
    <hyperlink r:id="rId430" ref="F248"/>
    <hyperlink r:id="rId431" ref="B249"/>
    <hyperlink r:id="rId432" ref="F249"/>
    <hyperlink r:id="rId433" ref="F250"/>
    <hyperlink r:id="rId434" ref="F251"/>
    <hyperlink r:id="rId435" ref="F252"/>
    <hyperlink r:id="rId436" ref="F253"/>
    <hyperlink r:id="rId437" ref="B254"/>
    <hyperlink r:id="rId438" ref="F254"/>
    <hyperlink r:id="rId439" ref="F255"/>
    <hyperlink r:id="rId440" ref="F256"/>
    <hyperlink r:id="rId441" ref="B257"/>
    <hyperlink r:id="rId442" ref="F257"/>
    <hyperlink r:id="rId443" ref="B258"/>
    <hyperlink r:id="rId444" ref="F258"/>
    <hyperlink r:id="rId445" ref="F259"/>
    <hyperlink r:id="rId446" ref="F260"/>
    <hyperlink r:id="rId447" ref="F261"/>
    <hyperlink r:id="rId448" ref="F262"/>
    <hyperlink r:id="rId449" ref="F263"/>
    <hyperlink r:id="rId450" ref="F264"/>
    <hyperlink r:id="rId451" ref="F265"/>
    <hyperlink r:id="rId452" ref="B266"/>
    <hyperlink r:id="rId453" ref="F266"/>
    <hyperlink r:id="rId454" ref="F267"/>
    <hyperlink r:id="rId455" ref="F268"/>
    <hyperlink r:id="rId456" ref="B269"/>
    <hyperlink r:id="rId457" ref="F269"/>
    <hyperlink r:id="rId458" ref="F270"/>
    <hyperlink r:id="rId459" ref="F271"/>
    <hyperlink r:id="rId460" ref="B272"/>
    <hyperlink r:id="rId461" ref="F272"/>
    <hyperlink r:id="rId462" ref="F273"/>
    <hyperlink r:id="rId463" ref="B274"/>
    <hyperlink r:id="rId464" ref="F274"/>
    <hyperlink r:id="rId465" ref="F275"/>
  </hyperlinks>
  <drawing r:id="rId466"/>
</worksheet>
</file>